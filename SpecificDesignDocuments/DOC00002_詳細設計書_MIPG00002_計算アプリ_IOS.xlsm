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c521604723f0b4a/詳細設計書/"/>
    </mc:Choice>
  </mc:AlternateContent>
  <xr:revisionPtr revIDLastSave="23" documentId="8_{E50EA732-29D9-45F2-9B24-2398EA9AD944}" xr6:coauthVersionLast="47" xr6:coauthVersionMax="47" xr10:uidLastSave="{10FAC5E8-7B8D-44B3-88EB-80A6645B6834}"/>
  <bookViews>
    <workbookView xWindow="4590" yWindow="4590" windowWidth="28800" windowHeight="14550" tabRatio="758" xr2:uid="{00000000-000D-0000-FFFF-FFFF00000000}"/>
  </bookViews>
  <sheets>
    <sheet name="改訂履歴" sheetId="70" r:id="rId1"/>
    <sheet name="画面イメージ" sheetId="62" r:id="rId2"/>
    <sheet name="IO関連" sheetId="64" r:id="rId3"/>
    <sheet name="画面項目" sheetId="65" r:id="rId4"/>
    <sheet name="イベント処理" sheetId="67" r:id="rId5"/>
    <sheet name="DB処理" sheetId="66" r:id="rId6"/>
  </sheets>
  <externalReferences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2" i="64" l="1"/>
  <c r="AS1" i="64"/>
  <c r="AS2" i="65"/>
  <c r="AS1" i="65"/>
  <c r="AS2" i="67"/>
  <c r="AS1" i="67"/>
  <c r="AS2" i="66"/>
  <c r="AS1" i="66"/>
  <c r="AS2" i="62"/>
  <c r="AS1" i="62"/>
  <c r="AS1" i="70"/>
  <c r="AS2" i="70"/>
  <c r="AE2" i="70" l="1"/>
  <c r="BB1" i="70"/>
  <c r="BB2" i="70"/>
  <c r="AE1" i="70" l="1"/>
  <c r="G2" i="70"/>
  <c r="A22" i="64" l="1"/>
  <c r="A23" i="64"/>
  <c r="A24" i="64"/>
  <c r="A25" i="64"/>
  <c r="A26" i="64"/>
  <c r="A27" i="64"/>
  <c r="A28" i="64"/>
  <c r="A29" i="64"/>
  <c r="A30" i="64"/>
  <c r="A33" i="64"/>
  <c r="A34" i="64"/>
  <c r="A35" i="64"/>
  <c r="A36" i="64"/>
  <c r="A37" i="64"/>
  <c r="A38" i="64"/>
  <c r="A39" i="64"/>
  <c r="A40" i="64"/>
  <c r="A41" i="64"/>
  <c r="A44" i="64"/>
  <c r="A45" i="64"/>
  <c r="A46" i="64"/>
  <c r="A47" i="64"/>
  <c r="A48" i="64"/>
  <c r="A49" i="64"/>
  <c r="A50" i="64"/>
  <c r="A51" i="64"/>
  <c r="A52" i="64"/>
  <c r="A6" i="65"/>
  <c r="A7" i="65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A50" i="65"/>
  <c r="A51" i="65"/>
  <c r="A52" i="65"/>
  <c r="A53" i="65"/>
  <c r="A54" i="65"/>
  <c r="G1" i="66" l="1"/>
  <c r="G1" i="62"/>
  <c r="G1" i="67"/>
  <c r="G1" i="65"/>
  <c r="G1" i="64"/>
  <c r="BB2" i="64" l="1"/>
  <c r="BB2" i="65"/>
  <c r="BB2" i="67"/>
  <c r="BB2" i="66"/>
  <c r="BB2" i="62"/>
  <c r="BB1" i="64"/>
  <c r="BB1" i="65"/>
  <c r="BB1" i="67"/>
  <c r="BB1" i="66"/>
  <c r="BB1" i="62"/>
  <c r="AE2" i="64"/>
  <c r="AE2" i="65"/>
  <c r="AE2" i="67"/>
  <c r="AE2" i="66"/>
  <c r="AE2" i="62"/>
  <c r="G2" i="64" l="1"/>
  <c r="G2" i="65"/>
  <c r="G2" i="67"/>
  <c r="G2" i="66"/>
  <c r="G2" i="62"/>
  <c r="AE1" i="65"/>
  <c r="AE1" i="64"/>
  <c r="AE1" i="66"/>
  <c r="AE1" i="67"/>
  <c r="AE1" i="62"/>
</calcChain>
</file>

<file path=xl/sharedStrings.xml><?xml version="1.0" encoding="utf-8"?>
<sst xmlns="http://schemas.openxmlformats.org/spreadsheetml/2006/main" count="100" uniqueCount="45">
  <si>
    <t>システム名称</t>
    <rPh sb="4" eb="6">
      <t>メイショウ</t>
    </rPh>
    <phoneticPr fontId="1"/>
  </si>
  <si>
    <t>備考</t>
    <rPh sb="0" eb="2">
      <t>ビコウ</t>
    </rPh>
    <phoneticPr fontId="1"/>
  </si>
  <si>
    <t>論理名称</t>
    <rPh sb="0" eb="2">
      <t>ロンリ</t>
    </rPh>
    <rPh sb="2" eb="4">
      <t>メイショウ</t>
    </rPh>
    <phoneticPr fontId="1"/>
  </si>
  <si>
    <t>物理名称</t>
    <rPh sb="0" eb="2">
      <t>ブツリ</t>
    </rPh>
    <rPh sb="2" eb="4">
      <t>メイショウ</t>
    </rPh>
    <phoneticPr fontId="1"/>
  </si>
  <si>
    <t>システムID</t>
    <phoneticPr fontId="1"/>
  </si>
  <si>
    <t>テーブル一覧</t>
    <rPh sb="4" eb="6">
      <t>イチラン</t>
    </rPh>
    <phoneticPr fontId="1"/>
  </si>
  <si>
    <t>No</t>
    <phoneticPr fontId="1"/>
  </si>
  <si>
    <t>I/O</t>
    <phoneticPr fontId="1"/>
  </si>
  <si>
    <t>I/O関連図</t>
    <rPh sb="3" eb="5">
      <t>カンレン</t>
    </rPh>
    <rPh sb="5" eb="6">
      <t>ズ</t>
    </rPh>
    <phoneticPr fontId="1"/>
  </si>
  <si>
    <t>ファイル一覧</t>
    <rPh sb="4" eb="6">
      <t>イチラン</t>
    </rPh>
    <phoneticPr fontId="1"/>
  </si>
  <si>
    <t>パラメータ一覧</t>
    <rPh sb="5" eb="7">
      <t>イチラン</t>
    </rPh>
    <phoneticPr fontId="1"/>
  </si>
  <si>
    <t>No</t>
    <phoneticPr fontId="1"/>
  </si>
  <si>
    <t>画面項目</t>
    <rPh sb="0" eb="2">
      <t>ガメン</t>
    </rPh>
    <rPh sb="2" eb="4">
      <t>コウモク</t>
    </rPh>
    <phoneticPr fontId="1"/>
  </si>
  <si>
    <t>項目名称</t>
    <rPh sb="0" eb="2">
      <t>コウモク</t>
    </rPh>
    <rPh sb="2" eb="4">
      <t>メイショウ</t>
    </rPh>
    <phoneticPr fontId="1"/>
  </si>
  <si>
    <t>分類</t>
    <rPh sb="0" eb="2">
      <t>ブンルイ</t>
    </rPh>
    <phoneticPr fontId="1"/>
  </si>
  <si>
    <t>桁数</t>
    <rPh sb="0" eb="2">
      <t>ケタスウ</t>
    </rPh>
    <phoneticPr fontId="1"/>
  </si>
  <si>
    <t>フォーマット</t>
    <phoneticPr fontId="1"/>
  </si>
  <si>
    <t>テーブル</t>
    <phoneticPr fontId="1"/>
  </si>
  <si>
    <t>フィールド</t>
    <phoneticPr fontId="1"/>
  </si>
  <si>
    <t>必須</t>
    <rPh sb="0" eb="2">
      <t>ヒッス</t>
    </rPh>
    <phoneticPr fontId="1"/>
  </si>
  <si>
    <t>抽出項目</t>
    <rPh sb="0" eb="2">
      <t>チュウシュツ</t>
    </rPh>
    <rPh sb="2" eb="4">
      <t>コウモク</t>
    </rPh>
    <phoneticPr fontId="1"/>
  </si>
  <si>
    <t>抽出対象</t>
    <rPh sb="2" eb="4">
      <t>タイショウ</t>
    </rPh>
    <phoneticPr fontId="1"/>
  </si>
  <si>
    <t>抽出条件</t>
    <rPh sb="2" eb="4">
      <t>ジョウケン</t>
    </rPh>
    <phoneticPr fontId="1"/>
  </si>
  <si>
    <t>初期表示処理</t>
    <rPh sb="0" eb="2">
      <t>ショキ</t>
    </rPh>
    <rPh sb="2" eb="4">
      <t>ヒョウジ</t>
    </rPh>
    <rPh sb="4" eb="6">
      <t>ショリ</t>
    </rPh>
    <phoneticPr fontId="1"/>
  </si>
  <si>
    <t>画面イメージ</t>
    <phoneticPr fontId="1"/>
  </si>
  <si>
    <t>改訂内容</t>
  </si>
  <si>
    <t>○○ボタン[クリック]処理</t>
    <phoneticPr fontId="1"/>
  </si>
  <si>
    <t>○○データ抽出処理</t>
    <rPh sb="5" eb="7">
      <t>チュウシュツ</t>
    </rPh>
    <rPh sb="7" eb="9">
      <t>ショリ</t>
    </rPh>
    <phoneticPr fontId="1"/>
  </si>
  <si>
    <t>ドキュメント名</t>
    <rPh sb="6" eb="7">
      <t>メイ</t>
    </rPh>
    <phoneticPr fontId="1"/>
  </si>
  <si>
    <t>ドキュメントID</t>
    <phoneticPr fontId="1"/>
  </si>
  <si>
    <t>版</t>
    <rPh sb="0" eb="1">
      <t>ハン</t>
    </rPh>
    <phoneticPr fontId="2"/>
  </si>
  <si>
    <t>バージョン</t>
    <phoneticPr fontId="1"/>
  </si>
  <si>
    <t>作成日</t>
    <rPh sb="0" eb="3">
      <t>サクセイビ</t>
    </rPh>
    <phoneticPr fontId="1"/>
  </si>
  <si>
    <t>改定者</t>
    <rPh sb="0" eb="3">
      <t>カイテイシャ</t>
    </rPh>
    <phoneticPr fontId="1"/>
  </si>
  <si>
    <t>改定日</t>
    <rPh sb="0" eb="3">
      <t>カイテイビ</t>
    </rPh>
    <phoneticPr fontId="1"/>
  </si>
  <si>
    <t>対象(シート名)</t>
    <rPh sb="6" eb="7">
      <t>メイ</t>
    </rPh>
    <phoneticPr fontId="1"/>
  </si>
  <si>
    <t>水谷</t>
    <rPh sb="0" eb="2">
      <t>ミズタニ</t>
    </rPh>
    <phoneticPr fontId="1"/>
  </si>
  <si>
    <t>DOC00002_詳細設計書_MIPG00002_計算アプリ_IOS</t>
    <phoneticPr fontId="1"/>
  </si>
  <si>
    <t>更新区分</t>
    <rPh sb="0" eb="4">
      <t xml:space="preserve">コウシンクブン </t>
    </rPh>
    <phoneticPr fontId="1"/>
  </si>
  <si>
    <t>全シート</t>
    <rPh sb="0" eb="1">
      <t>ゼン</t>
    </rPh>
    <phoneticPr fontId="1"/>
  </si>
  <si>
    <t>新規</t>
    <rPh sb="0" eb="2">
      <t xml:space="preserve">シンキサクセイ </t>
    </rPh>
    <phoneticPr fontId="1"/>
  </si>
  <si>
    <t>シート作成</t>
    <rPh sb="3" eb="5">
      <t xml:space="preserve">サクセイ </t>
    </rPh>
    <phoneticPr fontId="1"/>
  </si>
  <si>
    <t>改訂履歴</t>
    <rPh sb="0" eb="4">
      <t>カイテイリレキ</t>
    </rPh>
    <phoneticPr fontId="1"/>
  </si>
  <si>
    <t>修正</t>
    <rPh sb="0" eb="2">
      <t>シュウセイ</t>
    </rPh>
    <phoneticPr fontId="1"/>
  </si>
  <si>
    <t>テンプレートを更新したので、その内容を反映</t>
    <rPh sb="7" eb="9">
      <t>コウシン</t>
    </rPh>
    <rPh sb="16" eb="18">
      <t>ナイヨウ</t>
    </rPh>
    <rPh sb="19" eb="21">
      <t>ハンエイ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</si>
</sst>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;@"/>
  </numFmts>
  <fonts count="9" x14ac:knownFonts="1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ＭＳ 明朝"/>
      <family val="1"/>
      <charset val="128"/>
    </font>
    <font>
      <sz val="11"/>
      <color indexed="9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indexed="9"/>
      <name val="ＭＳ ゴシック"/>
      <family val="3"/>
    </font>
    <font>
      <sz val="11"/>
      <name val="ＭＳ ゴシック"/>
      <family val="3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3" fillId="0" borderId="0"/>
  </cellStyleXfs>
  <cellXfs count="85">
    <xf numFmtId="0" fontId="0" fillId="0" borderId="0" xfId="0"/>
    <xf numFmtId="0" fontId="6" fillId="0" borderId="0" xfId="0" applyFont="1"/>
    <xf numFmtId="0" fontId="6" fillId="0" borderId="0" xfId="0" applyFont="1" applyAlignment="1">
      <alignment vertical="center"/>
    </xf>
    <xf numFmtId="0" fontId="5" fillId="2" borderId="10" xfId="0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0" fontId="5" fillId="2" borderId="12" xfId="0" applyFont="1" applyFill="1" applyBorder="1" applyAlignment="1">
      <alignment vertical="center"/>
    </xf>
    <xf numFmtId="0" fontId="5" fillId="2" borderId="2" xfId="0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6" fillId="0" borderId="1" xfId="0" applyFont="1" applyFill="1" applyBorder="1" applyAlignment="1">
      <alignment vertical="top"/>
    </xf>
    <xf numFmtId="0" fontId="6" fillId="0" borderId="2" xfId="0" applyFont="1" applyFill="1" applyBorder="1" applyAlignment="1">
      <alignment vertical="top"/>
    </xf>
    <xf numFmtId="0" fontId="6" fillId="0" borderId="3" xfId="0" applyFont="1" applyFill="1" applyBorder="1" applyAlignment="1">
      <alignment vertical="top"/>
    </xf>
    <xf numFmtId="0" fontId="6" fillId="0" borderId="4" xfId="0" applyFont="1" applyFill="1" applyBorder="1" applyAlignment="1">
      <alignment vertical="top"/>
    </xf>
    <xf numFmtId="0" fontId="6" fillId="0" borderId="0" xfId="0" applyFont="1" applyFill="1" applyBorder="1" applyAlignment="1">
      <alignment vertical="top"/>
    </xf>
    <xf numFmtId="0" fontId="6" fillId="0" borderId="5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0" fontId="6" fillId="0" borderId="7" xfId="0" applyFont="1" applyFill="1" applyBorder="1" applyAlignment="1">
      <alignment vertical="top"/>
    </xf>
    <xf numFmtId="0" fontId="6" fillId="0" borderId="8" xfId="0" applyFont="1" applyFill="1" applyBorder="1" applyAlignment="1">
      <alignment vertical="top"/>
    </xf>
    <xf numFmtId="0" fontId="5" fillId="2" borderId="6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6" fillId="0" borderId="4" xfId="0" applyFont="1" applyBorder="1"/>
    <xf numFmtId="0" fontId="6" fillId="0" borderId="0" xfId="0" applyFont="1" applyBorder="1"/>
    <xf numFmtId="0" fontId="6" fillId="0" borderId="6" xfId="0" applyFont="1" applyBorder="1"/>
    <xf numFmtId="0" fontId="6" fillId="0" borderId="7" xfId="0" applyFont="1" applyBorder="1"/>
    <xf numFmtId="0" fontId="5" fillId="2" borderId="9" xfId="0" applyFont="1" applyFill="1" applyBorder="1" applyAlignment="1">
      <alignment horizontal="center" vertical="top"/>
    </xf>
    <xf numFmtId="0" fontId="6" fillId="0" borderId="9" xfId="0" applyFont="1" applyBorder="1" applyAlignment="1">
      <alignment vertical="top"/>
    </xf>
    <xf numFmtId="0" fontId="6" fillId="0" borderId="1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2" borderId="10" xfId="0" applyFont="1" applyFill="1" applyBorder="1" applyAlignment="1">
      <alignment vertical="top"/>
    </xf>
    <xf numFmtId="0" fontId="5" fillId="2" borderId="11" xfId="0" applyFont="1" applyFill="1" applyBorder="1" applyAlignment="1">
      <alignment vertical="top"/>
    </xf>
    <xf numFmtId="0" fontId="5" fillId="2" borderId="12" xfId="0" applyFont="1" applyFill="1" applyBorder="1" applyAlignment="1">
      <alignment vertical="top"/>
    </xf>
    <xf numFmtId="0" fontId="5" fillId="2" borderId="13" xfId="0" applyFont="1" applyFill="1" applyBorder="1" applyAlignment="1">
      <alignment horizontal="center" vertical="top"/>
    </xf>
    <xf numFmtId="0" fontId="6" fillId="0" borderId="6" xfId="0" applyFont="1" applyBorder="1" applyAlignment="1">
      <alignment vertical="top"/>
    </xf>
    <xf numFmtId="0" fontId="6" fillId="0" borderId="7" xfId="0" applyFont="1" applyBorder="1" applyAlignment="1">
      <alignment vertical="top"/>
    </xf>
    <xf numFmtId="0" fontId="6" fillId="0" borderId="8" xfId="0" applyFont="1" applyBorder="1" applyAlignment="1">
      <alignment vertical="top"/>
    </xf>
    <xf numFmtId="0" fontId="6" fillId="0" borderId="5" xfId="0" applyFont="1" applyBorder="1"/>
    <xf numFmtId="0" fontId="6" fillId="0" borderId="8" xfId="0" applyFont="1" applyBorder="1"/>
    <xf numFmtId="0" fontId="8" fillId="0" borderId="10" xfId="1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0" fontId="8" fillId="0" borderId="12" xfId="1" applyFont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6" fillId="0" borderId="9" xfId="1" applyFont="1" applyBorder="1" applyAlignment="1">
      <alignment horizontal="center"/>
    </xf>
    <xf numFmtId="0" fontId="5" fillId="2" borderId="9" xfId="2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/>
    </xf>
    <xf numFmtId="14" fontId="6" fillId="0" borderId="10" xfId="0" applyNumberFormat="1" applyFont="1" applyBorder="1" applyAlignment="1">
      <alignment horizontal="center"/>
    </xf>
    <xf numFmtId="14" fontId="6" fillId="0" borderId="11" xfId="0" applyNumberFormat="1" applyFont="1" applyBorder="1" applyAlignment="1">
      <alignment horizontal="center"/>
    </xf>
    <xf numFmtId="14" fontId="6" fillId="0" borderId="12" xfId="0" applyNumberFormat="1" applyFont="1" applyBorder="1" applyAlignment="1">
      <alignment horizontal="center"/>
    </xf>
    <xf numFmtId="0" fontId="5" fillId="2" borderId="10" xfId="1" applyFont="1" applyFill="1" applyBorder="1" applyAlignment="1">
      <alignment horizontal="center"/>
    </xf>
    <xf numFmtId="0" fontId="5" fillId="2" borderId="11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center"/>
    </xf>
    <xf numFmtId="177" fontId="6" fillId="0" borderId="10" xfId="0" applyNumberFormat="1" applyFont="1" applyBorder="1" applyAlignment="1">
      <alignment horizontal="center"/>
    </xf>
    <xf numFmtId="177" fontId="6" fillId="0" borderId="11" xfId="0" applyNumberFormat="1" applyFont="1" applyBorder="1" applyAlignment="1">
      <alignment horizontal="center"/>
    </xf>
    <xf numFmtId="177" fontId="6" fillId="0" borderId="12" xfId="0" applyNumberFormat="1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9" xfId="1" applyFont="1" applyBorder="1" applyAlignment="1">
      <alignment vertical="center"/>
    </xf>
    <xf numFmtId="176" fontId="6" fillId="0" borderId="9" xfId="1" applyNumberFormat="1" applyFont="1" applyBorder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6" fillId="0" borderId="9" xfId="1" applyFont="1" applyBorder="1" applyAlignment="1">
      <alignment horizontal="center" vertical="center"/>
    </xf>
    <xf numFmtId="0" fontId="5" fillId="2" borderId="9" xfId="1" applyFont="1" applyFill="1" applyBorder="1" applyAlignment="1">
      <alignment horizontal="center"/>
    </xf>
    <xf numFmtId="0" fontId="5" fillId="2" borderId="0" xfId="1" applyFont="1" applyFill="1" applyAlignment="1">
      <alignment horizontal="center"/>
    </xf>
    <xf numFmtId="177" fontId="6" fillId="0" borderId="10" xfId="1" applyNumberFormat="1" applyFont="1" applyBorder="1" applyAlignment="1">
      <alignment horizontal="center"/>
    </xf>
    <xf numFmtId="177" fontId="6" fillId="0" borderId="11" xfId="1" applyNumberFormat="1" applyFont="1" applyBorder="1" applyAlignment="1">
      <alignment horizontal="center"/>
    </xf>
    <xf numFmtId="177" fontId="6" fillId="0" borderId="12" xfId="1" applyNumberFormat="1" applyFont="1" applyBorder="1" applyAlignment="1">
      <alignment horizontal="center"/>
    </xf>
    <xf numFmtId="0" fontId="7" fillId="2" borderId="10" xfId="1" applyFont="1" applyFill="1" applyBorder="1" applyAlignment="1">
      <alignment horizontal="center"/>
    </xf>
    <xf numFmtId="0" fontId="7" fillId="2" borderId="11" xfId="1" applyFont="1" applyFill="1" applyBorder="1" applyAlignment="1">
      <alignment horizontal="center"/>
    </xf>
    <xf numFmtId="0" fontId="7" fillId="2" borderId="12" xfId="1" applyFont="1" applyFill="1" applyBorder="1" applyAlignment="1">
      <alignment horizontal="center"/>
    </xf>
    <xf numFmtId="0" fontId="6" fillId="0" borderId="10" xfId="0" applyFont="1" applyBorder="1" applyAlignment="1">
      <alignment vertical="top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/>
    </xf>
    <xf numFmtId="0" fontId="5" fillId="2" borderId="10" xfId="0" applyFont="1" applyFill="1" applyBorder="1" applyAlignment="1">
      <alignment horizontal="center" vertical="top"/>
    </xf>
    <xf numFmtId="0" fontId="5" fillId="2" borderId="11" xfId="0" applyFont="1" applyFill="1" applyBorder="1" applyAlignment="1">
      <alignment horizontal="center" vertical="top"/>
    </xf>
    <xf numFmtId="0" fontId="5" fillId="2" borderId="12" xfId="0" applyFont="1" applyFill="1" applyBorder="1" applyAlignment="1">
      <alignment horizontal="center" vertical="top"/>
    </xf>
    <xf numFmtId="0" fontId="6" fillId="0" borderId="10" xfId="0" applyFont="1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6" fillId="0" borderId="9" xfId="0" applyFont="1" applyBorder="1" applyAlignment="1">
      <alignment vertical="top"/>
    </xf>
    <xf numFmtId="0" fontId="6" fillId="0" borderId="9" xfId="0" applyFont="1" applyBorder="1" applyAlignment="1">
      <alignment horizontal="center" vertical="top"/>
    </xf>
  </cellXfs>
  <cellStyles count="3">
    <cellStyle name="標準" xfId="0" builtinId="0"/>
    <cellStyle name="標準_ﾌﾟﾛｸﾞﾗﾑ一覧" xfId="1" xr:uid="{00000000-0005-0000-0000-000001000000}"/>
    <cellStyle name="標準_受入登録（詳細）2000バージョン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C00001_&#35443;&#32048;&#35373;&#35336;&#26360;_MIPG00001_&#12486;&#12488;&#12522;&#12473;_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改訂履歴"/>
      <sheetName val="画面イメージ"/>
      <sheetName val="IO関連"/>
      <sheetName val="画面項目"/>
      <sheetName val="イベント処理"/>
      <sheetName val="DB処理"/>
    </sheetNames>
    <sheetDataSet>
      <sheetData sheetId="0">
        <row r="1">
          <cell r="G1" t="str">
            <v>DOC00002_詳細設計書_MIPG00002_計算アプリ_IOS</v>
          </cell>
          <cell r="AE1" t="str">
            <v>DOC00002</v>
          </cell>
          <cell r="AS1" t="str">
            <v>第2版</v>
          </cell>
          <cell r="BB1" t="str">
            <v>水谷</v>
          </cell>
        </row>
        <row r="2">
          <cell r="G2" t="str">
            <v>計算アプリ_IOS</v>
          </cell>
          <cell r="AE2" t="str">
            <v>MIPG00002</v>
          </cell>
          <cell r="AS2">
            <v>44853</v>
          </cell>
          <cell r="BB2">
            <v>44870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F52"/>
  <sheetViews>
    <sheetView tabSelected="1" workbookViewId="0">
      <pane ySplit="4" topLeftCell="A5" activePane="bottomLeft" state="frozen"/>
      <selection pane="bottomLeft" sqref="A1:F1"/>
    </sheetView>
  </sheetViews>
  <sheetFormatPr defaultColWidth="2.625" defaultRowHeight="13.5" x14ac:dyDescent="0.15"/>
  <cols>
    <col min="1" max="14" width="2.625" style="1"/>
    <col min="15" max="15" width="2.625" style="1" customWidth="1"/>
    <col min="16" max="16384" width="2.625" style="1"/>
  </cols>
  <sheetData>
    <row r="1" spans="1:58" x14ac:dyDescent="0.15">
      <c r="A1" s="48" t="s">
        <v>28</v>
      </c>
      <c r="B1" s="48"/>
      <c r="C1" s="48"/>
      <c r="D1" s="48"/>
      <c r="E1" s="48"/>
      <c r="F1" s="48"/>
      <c r="G1" s="49" t="s">
        <v>37</v>
      </c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8" t="s">
        <v>29</v>
      </c>
      <c r="Z1" s="48"/>
      <c r="AA1" s="48"/>
      <c r="AB1" s="48"/>
      <c r="AC1" s="48"/>
      <c r="AD1" s="48"/>
      <c r="AE1" s="49" t="str">
        <f>LEFT($G$1,FIND("_", $G$1)-1)</f>
        <v>DOC00002</v>
      </c>
      <c r="AF1" s="49"/>
      <c r="AG1" s="49"/>
      <c r="AH1" s="49"/>
      <c r="AI1" s="49"/>
      <c r="AJ1" s="49"/>
      <c r="AK1" s="49"/>
      <c r="AL1" s="49"/>
      <c r="AM1" s="49"/>
      <c r="AN1" s="49"/>
      <c r="AO1" s="48" t="s">
        <v>31</v>
      </c>
      <c r="AP1" s="48"/>
      <c r="AQ1" s="48"/>
      <c r="AR1" s="48"/>
      <c r="AS1" s="50" t="str">
        <f>"第" &amp; MAX(A5:A9999) &amp; "版"</f>
        <v>第2版</v>
      </c>
      <c r="AT1" s="51"/>
      <c r="AU1" s="51"/>
      <c r="AV1" s="51"/>
      <c r="AW1" s="52"/>
      <c r="AX1" s="48" t="s">
        <v>33</v>
      </c>
      <c r="AY1" s="48"/>
      <c r="AZ1" s="48"/>
      <c r="BA1" s="48"/>
      <c r="BB1" s="59" t="str">
        <f ca="1">INDIRECT("C" &amp; COUNTA(C5:C999)+4)</f>
        <v>水谷</v>
      </c>
      <c r="BC1" s="60"/>
      <c r="BD1" s="60"/>
      <c r="BE1" s="60"/>
      <c r="BF1" s="61"/>
    </row>
    <row r="2" spans="1:58" x14ac:dyDescent="0.15">
      <c r="A2" s="48" t="s">
        <v>0</v>
      </c>
      <c r="B2" s="48"/>
      <c r="C2" s="48"/>
      <c r="D2" s="48"/>
      <c r="E2" s="48"/>
      <c r="F2" s="48"/>
      <c r="G2" s="49" t="str">
        <f>MID($G$1,FIND("_",$G$1,FIND("_", $G$1)+FIND("_",$G$1,FIND("_", $G$1)+1))+1,1000)</f>
        <v>計算アプリ_IOS</v>
      </c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8" t="s">
        <v>4</v>
      </c>
      <c r="Z2" s="48"/>
      <c r="AA2" s="48"/>
      <c r="AB2" s="48"/>
      <c r="AC2" s="48"/>
      <c r="AD2" s="48"/>
      <c r="AE2" s="49" t="str">
        <f>MID($G$1,FIND("_",$G$1,FIND("_",$G$1)+1)+1,FIND("_",$G$1,FIND("_",$G$1)*2+1)-FIND("_",$G$1,FIND("_",$G$1)+1)-1)</f>
        <v>MIPG00002</v>
      </c>
      <c r="AF2" s="49"/>
      <c r="AG2" s="49"/>
      <c r="AH2" s="49"/>
      <c r="AI2" s="49"/>
      <c r="AJ2" s="49"/>
      <c r="AK2" s="49"/>
      <c r="AL2" s="49"/>
      <c r="AM2" s="49"/>
      <c r="AN2" s="49"/>
      <c r="AO2" s="48" t="s">
        <v>32</v>
      </c>
      <c r="AP2" s="48"/>
      <c r="AQ2" s="48"/>
      <c r="AR2" s="48"/>
      <c r="AS2" s="56">
        <f>$G$5</f>
        <v>44853</v>
      </c>
      <c r="AT2" s="57"/>
      <c r="AU2" s="57"/>
      <c r="AV2" s="57"/>
      <c r="AW2" s="58"/>
      <c r="AX2" s="48" t="s">
        <v>34</v>
      </c>
      <c r="AY2" s="48"/>
      <c r="AZ2" s="48"/>
      <c r="BA2" s="48"/>
      <c r="BB2" s="56">
        <f ca="1">INDIRECT("G" &amp; COUNTA(G5:G999)+4)</f>
        <v>44870</v>
      </c>
      <c r="BC2" s="57"/>
      <c r="BD2" s="57"/>
      <c r="BE2" s="57"/>
      <c r="BF2" s="58"/>
    </row>
    <row r="4" spans="1:58" x14ac:dyDescent="0.15">
      <c r="A4" s="64" t="s">
        <v>30</v>
      </c>
      <c r="B4" s="65"/>
      <c r="C4" s="67" t="s">
        <v>33</v>
      </c>
      <c r="D4" s="67"/>
      <c r="E4" s="67"/>
      <c r="F4" s="67"/>
      <c r="G4" s="64" t="s">
        <v>34</v>
      </c>
      <c r="H4" s="68"/>
      <c r="I4" s="68"/>
      <c r="J4" s="68"/>
      <c r="K4" s="68"/>
      <c r="L4" s="53" t="s">
        <v>35</v>
      </c>
      <c r="M4" s="54"/>
      <c r="N4" s="54"/>
      <c r="O4" s="54"/>
      <c r="P4" s="54"/>
      <c r="Q4" s="55"/>
      <c r="R4" s="72" t="s">
        <v>38</v>
      </c>
      <c r="S4" s="73"/>
      <c r="T4" s="73"/>
      <c r="U4" s="73"/>
      <c r="V4" s="73"/>
      <c r="W4" s="74"/>
      <c r="X4" s="72" t="s">
        <v>25</v>
      </c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4"/>
    </row>
    <row r="5" spans="1:58" x14ac:dyDescent="0.15">
      <c r="A5" s="66">
        <v>1</v>
      </c>
      <c r="B5" s="66"/>
      <c r="C5" s="63" t="s">
        <v>36</v>
      </c>
      <c r="D5" s="63"/>
      <c r="E5" s="63"/>
      <c r="F5" s="63"/>
      <c r="G5" s="69">
        <v>44853</v>
      </c>
      <c r="H5" s="70"/>
      <c r="I5" s="70"/>
      <c r="J5" s="70"/>
      <c r="K5" s="71"/>
      <c r="L5" s="44" t="s">
        <v>39</v>
      </c>
      <c r="M5" s="45"/>
      <c r="N5" s="45"/>
      <c r="O5" s="45"/>
      <c r="P5" s="45"/>
      <c r="Q5" s="46"/>
      <c r="R5" s="41" t="s">
        <v>40</v>
      </c>
      <c r="S5" s="42"/>
      <c r="T5" s="42"/>
      <c r="U5" s="42"/>
      <c r="V5" s="42"/>
      <c r="W5" s="43"/>
      <c r="X5" s="41" t="s">
        <v>41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3"/>
    </row>
    <row r="6" spans="1:58" x14ac:dyDescent="0.15">
      <c r="A6" s="66">
        <v>2</v>
      </c>
      <c r="B6" s="66"/>
      <c r="C6" s="63" t="s">
        <v>36</v>
      </c>
      <c r="D6" s="63"/>
      <c r="E6" s="63"/>
      <c r="F6" s="63"/>
      <c r="G6" s="69">
        <v>44870</v>
      </c>
      <c r="H6" s="70"/>
      <c r="I6" s="70"/>
      <c r="J6" s="70"/>
      <c r="K6" s="71"/>
      <c r="L6" s="47" t="s">
        <v>42</v>
      </c>
      <c r="M6" s="47"/>
      <c r="N6" s="47"/>
      <c r="O6" s="47"/>
      <c r="P6" s="47"/>
      <c r="Q6" s="47"/>
      <c r="R6" s="41" t="s">
        <v>43</v>
      </c>
      <c r="S6" s="42"/>
      <c r="T6" s="42"/>
      <c r="U6" s="42"/>
      <c r="V6" s="42"/>
      <c r="W6" s="43"/>
      <c r="X6" s="41" t="s">
        <v>44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3"/>
    </row>
    <row r="7" spans="1:58" x14ac:dyDescent="0.15">
      <c r="A7" s="62"/>
      <c r="B7" s="62"/>
      <c r="C7" s="63"/>
      <c r="D7" s="63"/>
      <c r="E7" s="63"/>
      <c r="F7" s="63"/>
      <c r="G7" s="44"/>
      <c r="H7" s="45"/>
      <c r="I7" s="45"/>
      <c r="J7" s="45"/>
      <c r="K7" s="46"/>
      <c r="L7" s="47"/>
      <c r="M7" s="47"/>
      <c r="N7" s="47"/>
      <c r="O7" s="47"/>
      <c r="P7" s="47"/>
      <c r="Q7" s="47"/>
      <c r="R7" s="41"/>
      <c r="S7" s="42"/>
      <c r="T7" s="42"/>
      <c r="U7" s="42"/>
      <c r="V7" s="42"/>
      <c r="W7" s="43"/>
      <c r="X7" s="41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3"/>
    </row>
    <row r="8" spans="1:58" x14ac:dyDescent="0.15">
      <c r="A8" s="62"/>
      <c r="B8" s="62"/>
      <c r="C8" s="63"/>
      <c r="D8" s="63"/>
      <c r="E8" s="63"/>
      <c r="F8" s="63"/>
      <c r="G8" s="44"/>
      <c r="H8" s="45"/>
      <c r="I8" s="45"/>
      <c r="J8" s="45"/>
      <c r="K8" s="46"/>
      <c r="L8" s="47"/>
      <c r="M8" s="47"/>
      <c r="N8" s="47"/>
      <c r="O8" s="47"/>
      <c r="P8" s="47"/>
      <c r="Q8" s="47"/>
      <c r="R8" s="41"/>
      <c r="S8" s="42"/>
      <c r="T8" s="42"/>
      <c r="U8" s="42"/>
      <c r="V8" s="42"/>
      <c r="W8" s="43"/>
      <c r="X8" s="41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3"/>
    </row>
    <row r="9" spans="1:58" x14ac:dyDescent="0.15">
      <c r="A9" s="62"/>
      <c r="B9" s="62"/>
      <c r="C9" s="63"/>
      <c r="D9" s="63"/>
      <c r="E9" s="63"/>
      <c r="F9" s="63"/>
      <c r="G9" s="44"/>
      <c r="H9" s="45"/>
      <c r="I9" s="45"/>
      <c r="J9" s="45"/>
      <c r="K9" s="46"/>
      <c r="L9" s="47"/>
      <c r="M9" s="47"/>
      <c r="N9" s="47"/>
      <c r="O9" s="47"/>
      <c r="P9" s="47"/>
      <c r="Q9" s="47"/>
      <c r="R9" s="41"/>
      <c r="S9" s="42"/>
      <c r="T9" s="42"/>
      <c r="U9" s="42"/>
      <c r="V9" s="42"/>
      <c r="W9" s="43"/>
      <c r="X9" s="41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3"/>
    </row>
    <row r="10" spans="1:58" x14ac:dyDescent="0.15">
      <c r="A10" s="62"/>
      <c r="B10" s="62"/>
      <c r="C10" s="63"/>
      <c r="D10" s="63"/>
      <c r="E10" s="63"/>
      <c r="F10" s="63"/>
      <c r="G10" s="44"/>
      <c r="H10" s="45"/>
      <c r="I10" s="45"/>
      <c r="J10" s="45"/>
      <c r="K10" s="46"/>
      <c r="L10" s="47"/>
      <c r="M10" s="47"/>
      <c r="N10" s="47"/>
      <c r="O10" s="47"/>
      <c r="P10" s="47"/>
      <c r="Q10" s="47"/>
      <c r="R10" s="41"/>
      <c r="S10" s="42"/>
      <c r="T10" s="42"/>
      <c r="U10" s="42"/>
      <c r="V10" s="42"/>
      <c r="W10" s="43"/>
      <c r="X10" s="41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3"/>
    </row>
    <row r="11" spans="1:58" x14ac:dyDescent="0.15">
      <c r="A11" s="62"/>
      <c r="B11" s="62"/>
      <c r="C11" s="63"/>
      <c r="D11" s="63"/>
      <c r="E11" s="63"/>
      <c r="F11" s="63"/>
      <c r="G11" s="44"/>
      <c r="H11" s="45"/>
      <c r="I11" s="45"/>
      <c r="J11" s="45"/>
      <c r="K11" s="46"/>
      <c r="L11" s="47"/>
      <c r="M11" s="47"/>
      <c r="N11" s="47"/>
      <c r="O11" s="47"/>
      <c r="P11" s="47"/>
      <c r="Q11" s="47"/>
      <c r="R11" s="41"/>
      <c r="S11" s="42"/>
      <c r="T11" s="42"/>
      <c r="U11" s="42"/>
      <c r="V11" s="42"/>
      <c r="W11" s="43"/>
      <c r="X11" s="41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3"/>
    </row>
    <row r="12" spans="1:58" x14ac:dyDescent="0.15">
      <c r="A12" s="62"/>
      <c r="B12" s="62"/>
      <c r="C12" s="63"/>
      <c r="D12" s="63"/>
      <c r="E12" s="63"/>
      <c r="F12" s="63"/>
      <c r="G12" s="44"/>
      <c r="H12" s="45"/>
      <c r="I12" s="45"/>
      <c r="J12" s="45"/>
      <c r="K12" s="46"/>
      <c r="L12" s="47"/>
      <c r="M12" s="47"/>
      <c r="N12" s="47"/>
      <c r="O12" s="47"/>
      <c r="P12" s="47"/>
      <c r="Q12" s="47"/>
      <c r="R12" s="41"/>
      <c r="S12" s="42"/>
      <c r="T12" s="42"/>
      <c r="U12" s="42"/>
      <c r="V12" s="42"/>
      <c r="W12" s="43"/>
      <c r="X12" s="41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3"/>
    </row>
    <row r="13" spans="1:58" x14ac:dyDescent="0.15">
      <c r="A13" s="62"/>
      <c r="B13" s="62"/>
      <c r="C13" s="63"/>
      <c r="D13" s="63"/>
      <c r="E13" s="63"/>
      <c r="F13" s="63"/>
      <c r="G13" s="44"/>
      <c r="H13" s="45"/>
      <c r="I13" s="45"/>
      <c r="J13" s="45"/>
      <c r="K13" s="46"/>
      <c r="L13" s="47"/>
      <c r="M13" s="47"/>
      <c r="N13" s="47"/>
      <c r="O13" s="47"/>
      <c r="P13" s="47"/>
      <c r="Q13" s="47"/>
      <c r="R13" s="41"/>
      <c r="S13" s="42"/>
      <c r="T13" s="42"/>
      <c r="U13" s="42"/>
      <c r="V13" s="42"/>
      <c r="W13" s="43"/>
      <c r="X13" s="41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3"/>
    </row>
    <row r="14" spans="1:58" x14ac:dyDescent="0.15">
      <c r="A14" s="62"/>
      <c r="B14" s="62"/>
      <c r="C14" s="63"/>
      <c r="D14" s="63"/>
      <c r="E14" s="63"/>
      <c r="F14" s="63"/>
      <c r="G14" s="44"/>
      <c r="H14" s="45"/>
      <c r="I14" s="45"/>
      <c r="J14" s="45"/>
      <c r="K14" s="46"/>
      <c r="L14" s="47"/>
      <c r="M14" s="47"/>
      <c r="N14" s="47"/>
      <c r="O14" s="47"/>
      <c r="P14" s="47"/>
      <c r="Q14" s="47"/>
      <c r="R14" s="41"/>
      <c r="S14" s="42"/>
      <c r="T14" s="42"/>
      <c r="U14" s="42"/>
      <c r="V14" s="42"/>
      <c r="W14" s="43"/>
      <c r="X14" s="41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3"/>
    </row>
    <row r="15" spans="1:58" x14ac:dyDescent="0.15">
      <c r="A15" s="62"/>
      <c r="B15" s="62"/>
      <c r="C15" s="63"/>
      <c r="D15" s="63"/>
      <c r="E15" s="63"/>
      <c r="F15" s="63"/>
      <c r="G15" s="44"/>
      <c r="H15" s="45"/>
      <c r="I15" s="45"/>
      <c r="J15" s="45"/>
      <c r="K15" s="46"/>
      <c r="L15" s="47"/>
      <c r="M15" s="47"/>
      <c r="N15" s="47"/>
      <c r="O15" s="47"/>
      <c r="P15" s="47"/>
      <c r="Q15" s="47"/>
      <c r="R15" s="41"/>
      <c r="S15" s="42"/>
      <c r="T15" s="42"/>
      <c r="U15" s="42"/>
      <c r="V15" s="42"/>
      <c r="W15" s="43"/>
      <c r="X15" s="41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3"/>
    </row>
    <row r="16" spans="1:58" x14ac:dyDescent="0.15">
      <c r="A16" s="62"/>
      <c r="B16" s="62"/>
      <c r="C16" s="63"/>
      <c r="D16" s="63"/>
      <c r="E16" s="63"/>
      <c r="F16" s="63"/>
      <c r="G16" s="44"/>
      <c r="H16" s="45"/>
      <c r="I16" s="45"/>
      <c r="J16" s="45"/>
      <c r="K16" s="46"/>
      <c r="L16" s="47"/>
      <c r="M16" s="47"/>
      <c r="N16" s="47"/>
      <c r="O16" s="47"/>
      <c r="P16" s="47"/>
      <c r="Q16" s="47"/>
      <c r="R16" s="41"/>
      <c r="S16" s="42"/>
      <c r="T16" s="42"/>
      <c r="U16" s="42"/>
      <c r="V16" s="42"/>
      <c r="W16" s="43"/>
      <c r="X16" s="41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3"/>
    </row>
    <row r="17" spans="1:57" x14ac:dyDescent="0.15">
      <c r="A17" s="62"/>
      <c r="B17" s="62"/>
      <c r="C17" s="63"/>
      <c r="D17" s="63"/>
      <c r="E17" s="63"/>
      <c r="F17" s="63"/>
      <c r="G17" s="44"/>
      <c r="H17" s="45"/>
      <c r="I17" s="45"/>
      <c r="J17" s="45"/>
      <c r="K17" s="46"/>
      <c r="L17" s="47"/>
      <c r="M17" s="47"/>
      <c r="N17" s="47"/>
      <c r="O17" s="47"/>
      <c r="P17" s="47"/>
      <c r="Q17" s="47"/>
      <c r="R17" s="41"/>
      <c r="S17" s="42"/>
      <c r="T17" s="42"/>
      <c r="U17" s="42"/>
      <c r="V17" s="42"/>
      <c r="W17" s="43"/>
      <c r="X17" s="41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3"/>
    </row>
    <row r="18" spans="1:57" x14ac:dyDescent="0.15">
      <c r="A18" s="62"/>
      <c r="B18" s="62"/>
      <c r="C18" s="63"/>
      <c r="D18" s="63"/>
      <c r="E18" s="63"/>
      <c r="F18" s="63"/>
      <c r="G18" s="44"/>
      <c r="H18" s="45"/>
      <c r="I18" s="45"/>
      <c r="J18" s="45"/>
      <c r="K18" s="46"/>
      <c r="L18" s="47"/>
      <c r="M18" s="47"/>
      <c r="N18" s="47"/>
      <c r="O18" s="47"/>
      <c r="P18" s="47"/>
      <c r="Q18" s="47"/>
      <c r="R18" s="41"/>
      <c r="S18" s="42"/>
      <c r="T18" s="42"/>
      <c r="U18" s="42"/>
      <c r="V18" s="42"/>
      <c r="W18" s="43"/>
      <c r="X18" s="41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3"/>
    </row>
    <row r="19" spans="1:57" x14ac:dyDescent="0.15">
      <c r="A19" s="62"/>
      <c r="B19" s="62"/>
      <c r="C19" s="63"/>
      <c r="D19" s="63"/>
      <c r="E19" s="63"/>
      <c r="F19" s="63"/>
      <c r="G19" s="44"/>
      <c r="H19" s="45"/>
      <c r="I19" s="45"/>
      <c r="J19" s="45"/>
      <c r="K19" s="46"/>
      <c r="L19" s="47"/>
      <c r="M19" s="47"/>
      <c r="N19" s="47"/>
      <c r="O19" s="47"/>
      <c r="P19" s="47"/>
      <c r="Q19" s="47"/>
      <c r="R19" s="41"/>
      <c r="S19" s="42"/>
      <c r="T19" s="42"/>
      <c r="U19" s="42"/>
      <c r="V19" s="42"/>
      <c r="W19" s="43"/>
      <c r="X19" s="41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3"/>
    </row>
    <row r="20" spans="1:57" x14ac:dyDescent="0.15">
      <c r="A20" s="62"/>
      <c r="B20" s="62"/>
      <c r="C20" s="63"/>
      <c r="D20" s="63"/>
      <c r="E20" s="63"/>
      <c r="F20" s="63"/>
      <c r="G20" s="44"/>
      <c r="H20" s="45"/>
      <c r="I20" s="45"/>
      <c r="J20" s="45"/>
      <c r="K20" s="46"/>
      <c r="L20" s="47"/>
      <c r="M20" s="47"/>
      <c r="N20" s="47"/>
      <c r="O20" s="47"/>
      <c r="P20" s="47"/>
      <c r="Q20" s="47"/>
      <c r="R20" s="41"/>
      <c r="S20" s="42"/>
      <c r="T20" s="42"/>
      <c r="U20" s="42"/>
      <c r="V20" s="42"/>
      <c r="W20" s="43"/>
      <c r="X20" s="41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3"/>
    </row>
    <row r="21" spans="1:57" x14ac:dyDescent="0.15">
      <c r="A21" s="62"/>
      <c r="B21" s="62"/>
      <c r="C21" s="63"/>
      <c r="D21" s="63"/>
      <c r="E21" s="63"/>
      <c r="F21" s="63"/>
      <c r="G21" s="44"/>
      <c r="H21" s="45"/>
      <c r="I21" s="45"/>
      <c r="J21" s="45"/>
      <c r="K21" s="46"/>
      <c r="L21" s="47"/>
      <c r="M21" s="47"/>
      <c r="N21" s="47"/>
      <c r="O21" s="47"/>
      <c r="P21" s="47"/>
      <c r="Q21" s="47"/>
      <c r="R21" s="41"/>
      <c r="S21" s="42"/>
      <c r="T21" s="42"/>
      <c r="U21" s="42"/>
      <c r="V21" s="42"/>
      <c r="W21" s="43"/>
      <c r="X21" s="41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3"/>
    </row>
    <row r="22" spans="1:57" x14ac:dyDescent="0.15">
      <c r="A22" s="62"/>
      <c r="B22" s="62"/>
      <c r="C22" s="63"/>
      <c r="D22" s="63"/>
      <c r="E22" s="63"/>
      <c r="F22" s="63"/>
      <c r="G22" s="44"/>
      <c r="H22" s="45"/>
      <c r="I22" s="45"/>
      <c r="J22" s="45"/>
      <c r="K22" s="46"/>
      <c r="L22" s="47"/>
      <c r="M22" s="47"/>
      <c r="N22" s="47"/>
      <c r="O22" s="47"/>
      <c r="P22" s="47"/>
      <c r="Q22" s="47"/>
      <c r="R22" s="41"/>
      <c r="S22" s="42"/>
      <c r="T22" s="42"/>
      <c r="U22" s="42"/>
      <c r="V22" s="42"/>
      <c r="W22" s="43"/>
      <c r="X22" s="41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3"/>
    </row>
    <row r="23" spans="1:57" x14ac:dyDescent="0.15">
      <c r="A23" s="62"/>
      <c r="B23" s="62"/>
      <c r="C23" s="63"/>
      <c r="D23" s="63"/>
      <c r="E23" s="63"/>
      <c r="F23" s="63"/>
      <c r="G23" s="44"/>
      <c r="H23" s="45"/>
      <c r="I23" s="45"/>
      <c r="J23" s="45"/>
      <c r="K23" s="46"/>
      <c r="L23" s="47"/>
      <c r="M23" s="47"/>
      <c r="N23" s="47"/>
      <c r="O23" s="47"/>
      <c r="P23" s="47"/>
      <c r="Q23" s="47"/>
      <c r="R23" s="41"/>
      <c r="S23" s="42"/>
      <c r="T23" s="42"/>
      <c r="U23" s="42"/>
      <c r="V23" s="42"/>
      <c r="W23" s="43"/>
      <c r="X23" s="41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3"/>
    </row>
    <row r="24" spans="1:57" x14ac:dyDescent="0.15">
      <c r="A24" s="62"/>
      <c r="B24" s="62"/>
      <c r="C24" s="63"/>
      <c r="D24" s="63"/>
      <c r="E24" s="63"/>
      <c r="F24" s="63"/>
      <c r="G24" s="44"/>
      <c r="H24" s="45"/>
      <c r="I24" s="45"/>
      <c r="J24" s="45"/>
      <c r="K24" s="46"/>
      <c r="L24" s="47"/>
      <c r="M24" s="47"/>
      <c r="N24" s="47"/>
      <c r="O24" s="47"/>
      <c r="P24" s="47"/>
      <c r="Q24" s="47"/>
      <c r="R24" s="41"/>
      <c r="S24" s="42"/>
      <c r="T24" s="42"/>
      <c r="U24" s="42"/>
      <c r="V24" s="42"/>
      <c r="W24" s="43"/>
      <c r="X24" s="41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3"/>
    </row>
    <row r="25" spans="1:57" x14ac:dyDescent="0.15">
      <c r="A25" s="62"/>
      <c r="B25" s="62"/>
      <c r="C25" s="63"/>
      <c r="D25" s="63"/>
      <c r="E25" s="63"/>
      <c r="F25" s="63"/>
      <c r="G25" s="44"/>
      <c r="H25" s="45"/>
      <c r="I25" s="45"/>
      <c r="J25" s="45"/>
      <c r="K25" s="46"/>
      <c r="L25" s="47"/>
      <c r="M25" s="47"/>
      <c r="N25" s="47"/>
      <c r="O25" s="47"/>
      <c r="P25" s="47"/>
      <c r="Q25" s="47"/>
      <c r="R25" s="41"/>
      <c r="S25" s="42"/>
      <c r="T25" s="42"/>
      <c r="U25" s="42"/>
      <c r="V25" s="42"/>
      <c r="W25" s="43"/>
      <c r="X25" s="41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3"/>
    </row>
    <row r="26" spans="1:57" x14ac:dyDescent="0.15">
      <c r="A26" s="62"/>
      <c r="B26" s="62"/>
      <c r="C26" s="63"/>
      <c r="D26" s="63"/>
      <c r="E26" s="63"/>
      <c r="F26" s="63"/>
      <c r="G26" s="44"/>
      <c r="H26" s="45"/>
      <c r="I26" s="45"/>
      <c r="J26" s="45"/>
      <c r="K26" s="46"/>
      <c r="L26" s="47"/>
      <c r="M26" s="47"/>
      <c r="N26" s="47"/>
      <c r="O26" s="47"/>
      <c r="P26" s="47"/>
      <c r="Q26" s="47"/>
      <c r="R26" s="41"/>
      <c r="S26" s="42"/>
      <c r="T26" s="42"/>
      <c r="U26" s="42"/>
      <c r="V26" s="42"/>
      <c r="W26" s="43"/>
      <c r="X26" s="41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3"/>
    </row>
    <row r="27" spans="1:57" x14ac:dyDescent="0.15">
      <c r="A27" s="62"/>
      <c r="B27" s="62"/>
      <c r="C27" s="63"/>
      <c r="D27" s="63"/>
      <c r="E27" s="63"/>
      <c r="F27" s="63"/>
      <c r="G27" s="44"/>
      <c r="H27" s="45"/>
      <c r="I27" s="45"/>
      <c r="J27" s="45"/>
      <c r="K27" s="46"/>
      <c r="L27" s="47"/>
      <c r="M27" s="47"/>
      <c r="N27" s="47"/>
      <c r="O27" s="47"/>
      <c r="P27" s="47"/>
      <c r="Q27" s="47"/>
      <c r="R27" s="41"/>
      <c r="S27" s="42"/>
      <c r="T27" s="42"/>
      <c r="U27" s="42"/>
      <c r="V27" s="42"/>
      <c r="W27" s="43"/>
      <c r="X27" s="41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3"/>
    </row>
    <row r="28" spans="1:57" x14ac:dyDescent="0.15">
      <c r="A28" s="62"/>
      <c r="B28" s="62"/>
      <c r="C28" s="63"/>
      <c r="D28" s="63"/>
      <c r="E28" s="63"/>
      <c r="F28" s="63"/>
      <c r="G28" s="44"/>
      <c r="H28" s="45"/>
      <c r="I28" s="45"/>
      <c r="J28" s="45"/>
      <c r="K28" s="46"/>
      <c r="L28" s="47"/>
      <c r="M28" s="47"/>
      <c r="N28" s="47"/>
      <c r="O28" s="47"/>
      <c r="P28" s="47"/>
      <c r="Q28" s="47"/>
      <c r="R28" s="41"/>
      <c r="S28" s="42"/>
      <c r="T28" s="42"/>
      <c r="U28" s="42"/>
      <c r="V28" s="42"/>
      <c r="W28" s="43"/>
      <c r="X28" s="41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3"/>
    </row>
    <row r="29" spans="1:57" x14ac:dyDescent="0.15">
      <c r="A29" s="62"/>
      <c r="B29" s="62"/>
      <c r="C29" s="63"/>
      <c r="D29" s="63"/>
      <c r="E29" s="63"/>
      <c r="F29" s="63"/>
      <c r="G29" s="44"/>
      <c r="H29" s="45"/>
      <c r="I29" s="45"/>
      <c r="J29" s="45"/>
      <c r="K29" s="46"/>
      <c r="L29" s="47"/>
      <c r="M29" s="47"/>
      <c r="N29" s="47"/>
      <c r="O29" s="47"/>
      <c r="P29" s="47"/>
      <c r="Q29" s="47"/>
      <c r="R29" s="41"/>
      <c r="S29" s="42"/>
      <c r="T29" s="42"/>
      <c r="U29" s="42"/>
      <c r="V29" s="42"/>
      <c r="W29" s="43"/>
      <c r="X29" s="41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3"/>
    </row>
    <row r="30" spans="1:57" x14ac:dyDescent="0.15">
      <c r="A30" s="62"/>
      <c r="B30" s="62"/>
      <c r="C30" s="63"/>
      <c r="D30" s="63"/>
      <c r="E30" s="63"/>
      <c r="F30" s="63"/>
      <c r="G30" s="44"/>
      <c r="H30" s="45"/>
      <c r="I30" s="45"/>
      <c r="J30" s="45"/>
      <c r="K30" s="46"/>
      <c r="L30" s="47"/>
      <c r="M30" s="47"/>
      <c r="N30" s="47"/>
      <c r="O30" s="47"/>
      <c r="P30" s="47"/>
      <c r="Q30" s="47"/>
      <c r="R30" s="41"/>
      <c r="S30" s="42"/>
      <c r="T30" s="42"/>
      <c r="U30" s="42"/>
      <c r="V30" s="42"/>
      <c r="W30" s="43"/>
      <c r="X30" s="41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3"/>
    </row>
    <row r="31" spans="1:57" x14ac:dyDescent="0.15">
      <c r="A31" s="62"/>
      <c r="B31" s="62"/>
      <c r="C31" s="63"/>
      <c r="D31" s="63"/>
      <c r="E31" s="63"/>
      <c r="F31" s="63"/>
      <c r="G31" s="44"/>
      <c r="H31" s="45"/>
      <c r="I31" s="45"/>
      <c r="J31" s="45"/>
      <c r="K31" s="46"/>
      <c r="L31" s="47"/>
      <c r="M31" s="47"/>
      <c r="N31" s="47"/>
      <c r="O31" s="47"/>
      <c r="P31" s="47"/>
      <c r="Q31" s="47"/>
      <c r="R31" s="41"/>
      <c r="S31" s="42"/>
      <c r="T31" s="42"/>
      <c r="U31" s="42"/>
      <c r="V31" s="42"/>
      <c r="W31" s="43"/>
      <c r="X31" s="41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3"/>
    </row>
    <row r="32" spans="1:57" x14ac:dyDescent="0.15">
      <c r="A32" s="62"/>
      <c r="B32" s="62"/>
      <c r="C32" s="63"/>
      <c r="D32" s="63"/>
      <c r="E32" s="63"/>
      <c r="F32" s="63"/>
      <c r="G32" s="44"/>
      <c r="H32" s="45"/>
      <c r="I32" s="45"/>
      <c r="J32" s="45"/>
      <c r="K32" s="46"/>
      <c r="L32" s="47"/>
      <c r="M32" s="47"/>
      <c r="N32" s="47"/>
      <c r="O32" s="47"/>
      <c r="P32" s="47"/>
      <c r="Q32" s="47"/>
      <c r="R32" s="41"/>
      <c r="S32" s="42"/>
      <c r="T32" s="42"/>
      <c r="U32" s="42"/>
      <c r="V32" s="42"/>
      <c r="W32" s="43"/>
      <c r="X32" s="41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3"/>
    </row>
    <row r="33" spans="1:57" x14ac:dyDescent="0.15">
      <c r="A33" s="62"/>
      <c r="B33" s="62"/>
      <c r="C33" s="63"/>
      <c r="D33" s="63"/>
      <c r="E33" s="63"/>
      <c r="F33" s="63"/>
      <c r="G33" s="44"/>
      <c r="H33" s="45"/>
      <c r="I33" s="45"/>
      <c r="J33" s="45"/>
      <c r="K33" s="46"/>
      <c r="L33" s="47"/>
      <c r="M33" s="47"/>
      <c r="N33" s="47"/>
      <c r="O33" s="47"/>
      <c r="P33" s="47"/>
      <c r="Q33" s="47"/>
      <c r="R33" s="41"/>
      <c r="S33" s="42"/>
      <c r="T33" s="42"/>
      <c r="U33" s="42"/>
      <c r="V33" s="42"/>
      <c r="W33" s="43"/>
      <c r="X33" s="41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3"/>
    </row>
    <row r="34" spans="1:57" x14ac:dyDescent="0.15">
      <c r="A34" s="62"/>
      <c r="B34" s="62"/>
      <c r="C34" s="63"/>
      <c r="D34" s="63"/>
      <c r="E34" s="63"/>
      <c r="F34" s="63"/>
      <c r="G34" s="44"/>
      <c r="H34" s="45"/>
      <c r="I34" s="45"/>
      <c r="J34" s="45"/>
      <c r="K34" s="46"/>
      <c r="L34" s="47"/>
      <c r="M34" s="47"/>
      <c r="N34" s="47"/>
      <c r="O34" s="47"/>
      <c r="P34" s="47"/>
      <c r="Q34" s="47"/>
      <c r="R34" s="41"/>
      <c r="S34" s="42"/>
      <c r="T34" s="42"/>
      <c r="U34" s="42"/>
      <c r="V34" s="42"/>
      <c r="W34" s="43"/>
      <c r="X34" s="41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3"/>
    </row>
    <row r="35" spans="1:57" x14ac:dyDescent="0.15">
      <c r="A35" s="62"/>
      <c r="B35" s="62"/>
      <c r="C35" s="63"/>
      <c r="D35" s="63"/>
      <c r="E35" s="63"/>
      <c r="F35" s="63"/>
      <c r="G35" s="44"/>
      <c r="H35" s="45"/>
      <c r="I35" s="45"/>
      <c r="J35" s="45"/>
      <c r="K35" s="46"/>
      <c r="L35" s="47"/>
      <c r="M35" s="47"/>
      <c r="N35" s="47"/>
      <c r="O35" s="47"/>
      <c r="P35" s="47"/>
      <c r="Q35" s="47"/>
      <c r="R35" s="41"/>
      <c r="S35" s="42"/>
      <c r="T35" s="42"/>
      <c r="U35" s="42"/>
      <c r="V35" s="42"/>
      <c r="W35" s="43"/>
      <c r="X35" s="41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3"/>
    </row>
    <row r="36" spans="1:57" x14ac:dyDescent="0.15">
      <c r="A36" s="62"/>
      <c r="B36" s="62"/>
      <c r="C36" s="63"/>
      <c r="D36" s="63"/>
      <c r="E36" s="63"/>
      <c r="F36" s="63"/>
      <c r="G36" s="44"/>
      <c r="H36" s="45"/>
      <c r="I36" s="45"/>
      <c r="J36" s="45"/>
      <c r="K36" s="46"/>
      <c r="L36" s="47"/>
      <c r="M36" s="47"/>
      <c r="N36" s="47"/>
      <c r="O36" s="47"/>
      <c r="P36" s="47"/>
      <c r="Q36" s="47"/>
      <c r="R36" s="41"/>
      <c r="S36" s="42"/>
      <c r="T36" s="42"/>
      <c r="U36" s="42"/>
      <c r="V36" s="42"/>
      <c r="W36" s="43"/>
      <c r="X36" s="41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3"/>
    </row>
    <row r="37" spans="1:57" x14ac:dyDescent="0.15">
      <c r="A37" s="62"/>
      <c r="B37" s="62"/>
      <c r="C37" s="63"/>
      <c r="D37" s="63"/>
      <c r="E37" s="63"/>
      <c r="F37" s="63"/>
      <c r="G37" s="44"/>
      <c r="H37" s="45"/>
      <c r="I37" s="45"/>
      <c r="J37" s="45"/>
      <c r="K37" s="46"/>
      <c r="L37" s="47"/>
      <c r="M37" s="47"/>
      <c r="N37" s="47"/>
      <c r="O37" s="47"/>
      <c r="P37" s="47"/>
      <c r="Q37" s="47"/>
      <c r="R37" s="41"/>
      <c r="S37" s="42"/>
      <c r="T37" s="42"/>
      <c r="U37" s="42"/>
      <c r="V37" s="42"/>
      <c r="W37" s="43"/>
      <c r="X37" s="41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3"/>
    </row>
    <row r="38" spans="1:57" x14ac:dyDescent="0.15">
      <c r="A38" s="62"/>
      <c r="B38" s="62"/>
      <c r="C38" s="63"/>
      <c r="D38" s="63"/>
      <c r="E38" s="63"/>
      <c r="F38" s="63"/>
      <c r="G38" s="44"/>
      <c r="H38" s="45"/>
      <c r="I38" s="45"/>
      <c r="J38" s="45"/>
      <c r="K38" s="46"/>
      <c r="L38" s="47"/>
      <c r="M38" s="47"/>
      <c r="N38" s="47"/>
      <c r="O38" s="47"/>
      <c r="P38" s="47"/>
      <c r="Q38" s="47"/>
      <c r="R38" s="41"/>
      <c r="S38" s="42"/>
      <c r="T38" s="42"/>
      <c r="U38" s="42"/>
      <c r="V38" s="42"/>
      <c r="W38" s="43"/>
      <c r="X38" s="41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3"/>
    </row>
    <row r="39" spans="1:57" x14ac:dyDescent="0.15">
      <c r="A39" s="62"/>
      <c r="B39" s="62"/>
      <c r="C39" s="63"/>
      <c r="D39" s="63"/>
      <c r="E39" s="63"/>
      <c r="F39" s="63"/>
      <c r="G39" s="44"/>
      <c r="H39" s="45"/>
      <c r="I39" s="45"/>
      <c r="J39" s="45"/>
      <c r="K39" s="46"/>
      <c r="L39" s="47"/>
      <c r="M39" s="47"/>
      <c r="N39" s="47"/>
      <c r="O39" s="47"/>
      <c r="P39" s="47"/>
      <c r="Q39" s="47"/>
      <c r="R39" s="41"/>
      <c r="S39" s="42"/>
      <c r="T39" s="42"/>
      <c r="U39" s="42"/>
      <c r="V39" s="42"/>
      <c r="W39" s="43"/>
      <c r="X39" s="41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3"/>
    </row>
    <row r="40" spans="1:57" x14ac:dyDescent="0.15">
      <c r="A40" s="62"/>
      <c r="B40" s="62"/>
      <c r="C40" s="63"/>
      <c r="D40" s="63"/>
      <c r="E40" s="63"/>
      <c r="F40" s="63"/>
      <c r="G40" s="44"/>
      <c r="H40" s="45"/>
      <c r="I40" s="45"/>
      <c r="J40" s="45"/>
      <c r="K40" s="46"/>
      <c r="L40" s="47"/>
      <c r="M40" s="47"/>
      <c r="N40" s="47"/>
      <c r="O40" s="47"/>
      <c r="P40" s="47"/>
      <c r="Q40" s="47"/>
      <c r="R40" s="41"/>
      <c r="S40" s="42"/>
      <c r="T40" s="42"/>
      <c r="U40" s="42"/>
      <c r="V40" s="42"/>
      <c r="W40" s="43"/>
      <c r="X40" s="41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3"/>
    </row>
    <row r="41" spans="1:57" x14ac:dyDescent="0.15">
      <c r="A41" s="62"/>
      <c r="B41" s="62"/>
      <c r="C41" s="63"/>
      <c r="D41" s="63"/>
      <c r="E41" s="63"/>
      <c r="F41" s="63"/>
      <c r="G41" s="44"/>
      <c r="H41" s="45"/>
      <c r="I41" s="45"/>
      <c r="J41" s="45"/>
      <c r="K41" s="46"/>
      <c r="L41" s="47"/>
      <c r="M41" s="47"/>
      <c r="N41" s="47"/>
      <c r="O41" s="47"/>
      <c r="P41" s="47"/>
      <c r="Q41" s="47"/>
      <c r="R41" s="41"/>
      <c r="S41" s="42"/>
      <c r="T41" s="42"/>
      <c r="U41" s="42"/>
      <c r="V41" s="42"/>
      <c r="W41" s="43"/>
      <c r="X41" s="41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3"/>
    </row>
    <row r="42" spans="1:57" x14ac:dyDescent="0.15">
      <c r="A42" s="62"/>
      <c r="B42" s="62"/>
      <c r="C42" s="63"/>
      <c r="D42" s="63"/>
      <c r="E42" s="63"/>
      <c r="F42" s="63"/>
      <c r="G42" s="44"/>
      <c r="H42" s="45"/>
      <c r="I42" s="45"/>
      <c r="J42" s="45"/>
      <c r="K42" s="46"/>
      <c r="L42" s="47"/>
      <c r="M42" s="47"/>
      <c r="N42" s="47"/>
      <c r="O42" s="47"/>
      <c r="P42" s="47"/>
      <c r="Q42" s="47"/>
      <c r="R42" s="41"/>
      <c r="S42" s="42"/>
      <c r="T42" s="42"/>
      <c r="U42" s="42"/>
      <c r="V42" s="42"/>
      <c r="W42" s="43"/>
      <c r="X42" s="41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3"/>
    </row>
    <row r="43" spans="1:57" x14ac:dyDescent="0.15">
      <c r="A43" s="62"/>
      <c r="B43" s="62"/>
      <c r="C43" s="63"/>
      <c r="D43" s="63"/>
      <c r="E43" s="63"/>
      <c r="F43" s="63"/>
      <c r="G43" s="44"/>
      <c r="H43" s="45"/>
      <c r="I43" s="45"/>
      <c r="J43" s="45"/>
      <c r="K43" s="46"/>
      <c r="L43" s="47"/>
      <c r="M43" s="47"/>
      <c r="N43" s="47"/>
      <c r="O43" s="47"/>
      <c r="P43" s="47"/>
      <c r="Q43" s="47"/>
      <c r="R43" s="41"/>
      <c r="S43" s="42"/>
      <c r="T43" s="42"/>
      <c r="U43" s="42"/>
      <c r="V43" s="42"/>
      <c r="W43" s="43"/>
      <c r="X43" s="41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3"/>
    </row>
    <row r="44" spans="1:57" x14ac:dyDescent="0.15">
      <c r="A44" s="62"/>
      <c r="B44" s="62"/>
      <c r="C44" s="63"/>
      <c r="D44" s="63"/>
      <c r="E44" s="63"/>
      <c r="F44" s="63"/>
      <c r="G44" s="44"/>
      <c r="H44" s="45"/>
      <c r="I44" s="45"/>
      <c r="J44" s="45"/>
      <c r="K44" s="46"/>
      <c r="L44" s="47"/>
      <c r="M44" s="47"/>
      <c r="N44" s="47"/>
      <c r="O44" s="47"/>
      <c r="P44" s="47"/>
      <c r="Q44" s="47"/>
      <c r="R44" s="41"/>
      <c r="S44" s="42"/>
      <c r="T44" s="42"/>
      <c r="U44" s="42"/>
      <c r="V44" s="42"/>
      <c r="W44" s="43"/>
      <c r="X44" s="41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3"/>
    </row>
    <row r="45" spans="1:57" x14ac:dyDescent="0.15">
      <c r="A45" s="62"/>
      <c r="B45" s="62"/>
      <c r="C45" s="63"/>
      <c r="D45" s="63"/>
      <c r="E45" s="63"/>
      <c r="F45" s="63"/>
      <c r="G45" s="44"/>
      <c r="H45" s="45"/>
      <c r="I45" s="45"/>
      <c r="J45" s="45"/>
      <c r="K45" s="46"/>
      <c r="L45" s="47"/>
      <c r="M45" s="47"/>
      <c r="N45" s="47"/>
      <c r="O45" s="47"/>
      <c r="P45" s="47"/>
      <c r="Q45" s="47"/>
      <c r="R45" s="41"/>
      <c r="S45" s="42"/>
      <c r="T45" s="42"/>
      <c r="U45" s="42"/>
      <c r="V45" s="42"/>
      <c r="W45" s="43"/>
      <c r="X45" s="41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3"/>
    </row>
    <row r="46" spans="1:57" x14ac:dyDescent="0.15">
      <c r="A46" s="62"/>
      <c r="B46" s="62"/>
      <c r="C46" s="63"/>
      <c r="D46" s="63"/>
      <c r="E46" s="63"/>
      <c r="F46" s="63"/>
      <c r="G46" s="44"/>
      <c r="H46" s="45"/>
      <c r="I46" s="45"/>
      <c r="J46" s="45"/>
      <c r="K46" s="46"/>
      <c r="L46" s="47"/>
      <c r="M46" s="47"/>
      <c r="N46" s="47"/>
      <c r="O46" s="47"/>
      <c r="P46" s="47"/>
      <c r="Q46" s="47"/>
      <c r="R46" s="41"/>
      <c r="S46" s="42"/>
      <c r="T46" s="42"/>
      <c r="U46" s="42"/>
      <c r="V46" s="42"/>
      <c r="W46" s="43"/>
      <c r="X46" s="41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3"/>
    </row>
    <row r="47" spans="1:57" x14ac:dyDescent="0.15">
      <c r="A47" s="62"/>
      <c r="B47" s="62"/>
      <c r="C47" s="63"/>
      <c r="D47" s="63"/>
      <c r="E47" s="63"/>
      <c r="F47" s="63"/>
      <c r="G47" s="44"/>
      <c r="H47" s="45"/>
      <c r="I47" s="45"/>
      <c r="J47" s="45"/>
      <c r="K47" s="46"/>
      <c r="L47" s="47"/>
      <c r="M47" s="47"/>
      <c r="N47" s="47"/>
      <c r="O47" s="47"/>
      <c r="P47" s="47"/>
      <c r="Q47" s="47"/>
      <c r="R47" s="41"/>
      <c r="S47" s="42"/>
      <c r="T47" s="42"/>
      <c r="U47" s="42"/>
      <c r="V47" s="42"/>
      <c r="W47" s="43"/>
      <c r="X47" s="41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3"/>
    </row>
    <row r="48" spans="1:57" x14ac:dyDescent="0.15">
      <c r="A48" s="62"/>
      <c r="B48" s="62"/>
      <c r="C48" s="63"/>
      <c r="D48" s="63"/>
      <c r="E48" s="63"/>
      <c r="F48" s="63"/>
      <c r="G48" s="44"/>
      <c r="H48" s="45"/>
      <c r="I48" s="45"/>
      <c r="J48" s="45"/>
      <c r="K48" s="46"/>
      <c r="L48" s="47"/>
      <c r="M48" s="47"/>
      <c r="N48" s="47"/>
      <c r="O48" s="47"/>
      <c r="P48" s="47"/>
      <c r="Q48" s="47"/>
      <c r="R48" s="41"/>
      <c r="S48" s="42"/>
      <c r="T48" s="42"/>
      <c r="U48" s="42"/>
      <c r="V48" s="42"/>
      <c r="W48" s="43"/>
      <c r="X48" s="41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3"/>
    </row>
    <row r="49" spans="1:57" x14ac:dyDescent="0.15">
      <c r="A49" s="62"/>
      <c r="B49" s="62"/>
      <c r="C49" s="63"/>
      <c r="D49" s="63"/>
      <c r="E49" s="63"/>
      <c r="F49" s="63"/>
      <c r="G49" s="44"/>
      <c r="H49" s="45"/>
      <c r="I49" s="45"/>
      <c r="J49" s="45"/>
      <c r="K49" s="46"/>
      <c r="L49" s="47"/>
      <c r="M49" s="47"/>
      <c r="N49" s="47"/>
      <c r="O49" s="47"/>
      <c r="P49" s="47"/>
      <c r="Q49" s="47"/>
      <c r="R49" s="41"/>
      <c r="S49" s="42"/>
      <c r="T49" s="42"/>
      <c r="U49" s="42"/>
      <c r="V49" s="42"/>
      <c r="W49" s="43"/>
      <c r="X49" s="41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3"/>
    </row>
    <row r="50" spans="1:57" x14ac:dyDescent="0.15">
      <c r="A50" s="62"/>
      <c r="B50" s="62"/>
      <c r="C50" s="63"/>
      <c r="D50" s="63"/>
      <c r="E50" s="63"/>
      <c r="F50" s="63"/>
      <c r="G50" s="44"/>
      <c r="H50" s="45"/>
      <c r="I50" s="45"/>
      <c r="J50" s="45"/>
      <c r="K50" s="46"/>
      <c r="L50" s="47"/>
      <c r="M50" s="47"/>
      <c r="N50" s="47"/>
      <c r="O50" s="47"/>
      <c r="P50" s="47"/>
      <c r="Q50" s="47"/>
      <c r="R50" s="41"/>
      <c r="S50" s="42"/>
      <c r="T50" s="42"/>
      <c r="U50" s="42"/>
      <c r="V50" s="42"/>
      <c r="W50" s="43"/>
      <c r="X50" s="41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3"/>
    </row>
    <row r="51" spans="1:57" x14ac:dyDescent="0.15">
      <c r="A51" s="62"/>
      <c r="B51" s="62"/>
      <c r="C51" s="63"/>
      <c r="D51" s="63"/>
      <c r="E51" s="63"/>
      <c r="F51" s="63"/>
      <c r="G51" s="44"/>
      <c r="H51" s="45"/>
      <c r="I51" s="45"/>
      <c r="J51" s="45"/>
      <c r="K51" s="46"/>
      <c r="L51" s="47"/>
      <c r="M51" s="47"/>
      <c r="N51" s="47"/>
      <c r="O51" s="47"/>
      <c r="P51" s="47"/>
      <c r="Q51" s="47"/>
      <c r="R51" s="41"/>
      <c r="S51" s="42"/>
      <c r="T51" s="42"/>
      <c r="U51" s="42"/>
      <c r="V51" s="42"/>
      <c r="W51" s="43"/>
      <c r="X51" s="41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3"/>
    </row>
    <row r="52" spans="1:57" x14ac:dyDescent="0.15">
      <c r="A52" s="62"/>
      <c r="B52" s="62"/>
      <c r="C52" s="63"/>
      <c r="D52" s="63"/>
      <c r="E52" s="63"/>
      <c r="F52" s="63"/>
      <c r="G52" s="44"/>
      <c r="H52" s="45"/>
      <c r="I52" s="45"/>
      <c r="J52" s="45"/>
      <c r="K52" s="46"/>
      <c r="L52" s="47"/>
      <c r="M52" s="47"/>
      <c r="N52" s="47"/>
      <c r="O52" s="47"/>
      <c r="P52" s="47"/>
      <c r="Q52" s="47"/>
      <c r="R52" s="41"/>
      <c r="S52" s="42"/>
      <c r="T52" s="42"/>
      <c r="U52" s="42"/>
      <c r="V52" s="42"/>
      <c r="W52" s="43"/>
      <c r="X52" s="41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3"/>
    </row>
  </sheetData>
  <mergeCells count="310">
    <mergeCell ref="R50:W50"/>
    <mergeCell ref="X50:BE50"/>
    <mergeCell ref="R51:W51"/>
    <mergeCell ref="X51:BE51"/>
    <mergeCell ref="R52:W52"/>
    <mergeCell ref="X52:BE52"/>
    <mergeCell ref="R45:W45"/>
    <mergeCell ref="X45:BE45"/>
    <mergeCell ref="R46:W46"/>
    <mergeCell ref="X46:BE46"/>
    <mergeCell ref="R47:W47"/>
    <mergeCell ref="X47:BE47"/>
    <mergeCell ref="R48:W48"/>
    <mergeCell ref="X48:BE48"/>
    <mergeCell ref="R49:W49"/>
    <mergeCell ref="X49:BE49"/>
    <mergeCell ref="R22:W22"/>
    <mergeCell ref="X22:BE22"/>
    <mergeCell ref="R23:W23"/>
    <mergeCell ref="X23:BE23"/>
    <mergeCell ref="R24:W24"/>
    <mergeCell ref="X24:BE24"/>
    <mergeCell ref="R25:W25"/>
    <mergeCell ref="X25:BE25"/>
    <mergeCell ref="R26:W26"/>
    <mergeCell ref="X26:BE26"/>
    <mergeCell ref="R17:W17"/>
    <mergeCell ref="X17:BE17"/>
    <mergeCell ref="R18:W18"/>
    <mergeCell ref="X18:BE18"/>
    <mergeCell ref="R19:W19"/>
    <mergeCell ref="X19:BE19"/>
    <mergeCell ref="R20:W20"/>
    <mergeCell ref="X20:BE20"/>
    <mergeCell ref="R21:W21"/>
    <mergeCell ref="X21:BE21"/>
    <mergeCell ref="R12:W12"/>
    <mergeCell ref="X12:BE12"/>
    <mergeCell ref="R13:W13"/>
    <mergeCell ref="X13:BE13"/>
    <mergeCell ref="R14:W14"/>
    <mergeCell ref="X14:BE14"/>
    <mergeCell ref="R15:W15"/>
    <mergeCell ref="X15:BE15"/>
    <mergeCell ref="R16:W16"/>
    <mergeCell ref="X16:BE16"/>
    <mergeCell ref="R7:W7"/>
    <mergeCell ref="X7:BE7"/>
    <mergeCell ref="R8:W8"/>
    <mergeCell ref="X8:BE8"/>
    <mergeCell ref="R9:W9"/>
    <mergeCell ref="X9:BE9"/>
    <mergeCell ref="R10:W10"/>
    <mergeCell ref="X10:BE10"/>
    <mergeCell ref="R11:W11"/>
    <mergeCell ref="X11:BE11"/>
    <mergeCell ref="L49:Q49"/>
    <mergeCell ref="G50:K50"/>
    <mergeCell ref="G51:K51"/>
    <mergeCell ref="G52:K52"/>
    <mergeCell ref="L46:Q46"/>
    <mergeCell ref="BB2:BF2"/>
    <mergeCell ref="A48:B48"/>
    <mergeCell ref="C48:F48"/>
    <mergeCell ref="A47:B47"/>
    <mergeCell ref="C47:F47"/>
    <mergeCell ref="L7:Q7"/>
    <mergeCell ref="L8:Q8"/>
    <mergeCell ref="L9:Q9"/>
    <mergeCell ref="L10:Q10"/>
    <mergeCell ref="L11:Q11"/>
    <mergeCell ref="L12:Q12"/>
    <mergeCell ref="A45:B45"/>
    <mergeCell ref="C45:F45"/>
    <mergeCell ref="L45:Q45"/>
    <mergeCell ref="A44:B44"/>
    <mergeCell ref="C44:F44"/>
    <mergeCell ref="G44:K44"/>
    <mergeCell ref="G45:K45"/>
    <mergeCell ref="A43:B43"/>
    <mergeCell ref="X42:BE42"/>
    <mergeCell ref="R43:W43"/>
    <mergeCell ref="X43:BE43"/>
    <mergeCell ref="R44:W44"/>
    <mergeCell ref="X44:BE44"/>
    <mergeCell ref="L50:Q50"/>
    <mergeCell ref="L51:Q51"/>
    <mergeCell ref="A46:B46"/>
    <mergeCell ref="L52:Q52"/>
    <mergeCell ref="A52:B52"/>
    <mergeCell ref="A51:B51"/>
    <mergeCell ref="A50:B50"/>
    <mergeCell ref="C52:F52"/>
    <mergeCell ref="C50:F50"/>
    <mergeCell ref="A49:B49"/>
    <mergeCell ref="C49:F49"/>
    <mergeCell ref="C51:F51"/>
    <mergeCell ref="C46:F46"/>
    <mergeCell ref="G46:K46"/>
    <mergeCell ref="G47:K47"/>
    <mergeCell ref="G48:K48"/>
    <mergeCell ref="G49:K49"/>
    <mergeCell ref="L47:Q47"/>
    <mergeCell ref="L48:Q48"/>
    <mergeCell ref="L42:Q42"/>
    <mergeCell ref="A40:B40"/>
    <mergeCell ref="C40:F40"/>
    <mergeCell ref="G40:K40"/>
    <mergeCell ref="G41:K41"/>
    <mergeCell ref="R40:W40"/>
    <mergeCell ref="C43:F43"/>
    <mergeCell ref="L43:Q43"/>
    <mergeCell ref="L44:Q44"/>
    <mergeCell ref="A42:B42"/>
    <mergeCell ref="C42:F42"/>
    <mergeCell ref="G42:K42"/>
    <mergeCell ref="G43:K43"/>
    <mergeCell ref="R42:W42"/>
    <mergeCell ref="L38:Q38"/>
    <mergeCell ref="A36:B36"/>
    <mergeCell ref="C36:F36"/>
    <mergeCell ref="G36:K36"/>
    <mergeCell ref="G37:K37"/>
    <mergeCell ref="R36:W36"/>
    <mergeCell ref="X40:BE40"/>
    <mergeCell ref="R41:W41"/>
    <mergeCell ref="X41:BE41"/>
    <mergeCell ref="A39:B39"/>
    <mergeCell ref="C39:F39"/>
    <mergeCell ref="L39:Q39"/>
    <mergeCell ref="L40:Q40"/>
    <mergeCell ref="A38:B38"/>
    <mergeCell ref="C38:F38"/>
    <mergeCell ref="G38:K38"/>
    <mergeCell ref="G39:K39"/>
    <mergeCell ref="R38:W38"/>
    <mergeCell ref="X38:BE38"/>
    <mergeCell ref="R39:W39"/>
    <mergeCell ref="X39:BE39"/>
    <mergeCell ref="A41:B41"/>
    <mergeCell ref="C41:F41"/>
    <mergeCell ref="L41:Q41"/>
    <mergeCell ref="X36:BE36"/>
    <mergeCell ref="R37:W37"/>
    <mergeCell ref="X37:BE37"/>
    <mergeCell ref="A35:B35"/>
    <mergeCell ref="C35:F35"/>
    <mergeCell ref="L35:Q35"/>
    <mergeCell ref="L36:Q36"/>
    <mergeCell ref="A32:B32"/>
    <mergeCell ref="C32:F32"/>
    <mergeCell ref="G32:K32"/>
    <mergeCell ref="G33:K33"/>
    <mergeCell ref="G34:K34"/>
    <mergeCell ref="G35:K35"/>
    <mergeCell ref="A37:B37"/>
    <mergeCell ref="C37:F37"/>
    <mergeCell ref="L37:Q37"/>
    <mergeCell ref="R32:W32"/>
    <mergeCell ref="X32:BE32"/>
    <mergeCell ref="R33:W33"/>
    <mergeCell ref="X33:BE33"/>
    <mergeCell ref="R34:W34"/>
    <mergeCell ref="X34:BE34"/>
    <mergeCell ref="R35:W35"/>
    <mergeCell ref="X35:BE35"/>
    <mergeCell ref="A31:B31"/>
    <mergeCell ref="C31:F31"/>
    <mergeCell ref="L31:Q31"/>
    <mergeCell ref="L32:Q32"/>
    <mergeCell ref="A34:B34"/>
    <mergeCell ref="C34:F34"/>
    <mergeCell ref="A33:B33"/>
    <mergeCell ref="C33:F33"/>
    <mergeCell ref="L33:Q33"/>
    <mergeCell ref="L34:Q34"/>
    <mergeCell ref="G31:K31"/>
    <mergeCell ref="A28:B28"/>
    <mergeCell ref="C28:F28"/>
    <mergeCell ref="A27:B27"/>
    <mergeCell ref="C27:F27"/>
    <mergeCell ref="L27:Q27"/>
    <mergeCell ref="L28:Q28"/>
    <mergeCell ref="A30:B30"/>
    <mergeCell ref="C30:F30"/>
    <mergeCell ref="A29:B29"/>
    <mergeCell ref="C29:F29"/>
    <mergeCell ref="L29:Q29"/>
    <mergeCell ref="L30:Q30"/>
    <mergeCell ref="G27:K27"/>
    <mergeCell ref="G28:K28"/>
    <mergeCell ref="G29:K29"/>
    <mergeCell ref="G30:K30"/>
    <mergeCell ref="A26:B26"/>
    <mergeCell ref="C26:F26"/>
    <mergeCell ref="A25:B25"/>
    <mergeCell ref="C25:F25"/>
    <mergeCell ref="L25:Q25"/>
    <mergeCell ref="L26:Q26"/>
    <mergeCell ref="A24:B24"/>
    <mergeCell ref="C24:F24"/>
    <mergeCell ref="G24:K24"/>
    <mergeCell ref="G25:K25"/>
    <mergeCell ref="G26:K26"/>
    <mergeCell ref="A23:B23"/>
    <mergeCell ref="C23:F23"/>
    <mergeCell ref="L23:Q23"/>
    <mergeCell ref="L24:Q24"/>
    <mergeCell ref="A22:B22"/>
    <mergeCell ref="C22:F22"/>
    <mergeCell ref="A21:B21"/>
    <mergeCell ref="C21:F21"/>
    <mergeCell ref="L21:Q21"/>
    <mergeCell ref="L22:Q22"/>
    <mergeCell ref="G21:K21"/>
    <mergeCell ref="G22:K22"/>
    <mergeCell ref="G23:K23"/>
    <mergeCell ref="A20:B20"/>
    <mergeCell ref="C20:F20"/>
    <mergeCell ref="A19:B19"/>
    <mergeCell ref="C19:F19"/>
    <mergeCell ref="L19:Q19"/>
    <mergeCell ref="L20:Q20"/>
    <mergeCell ref="A18:B18"/>
    <mergeCell ref="C18:F18"/>
    <mergeCell ref="G18:K18"/>
    <mergeCell ref="G19:K19"/>
    <mergeCell ref="G20:K20"/>
    <mergeCell ref="A17:B17"/>
    <mergeCell ref="C17:F17"/>
    <mergeCell ref="L17:Q17"/>
    <mergeCell ref="L18:Q18"/>
    <mergeCell ref="A16:B16"/>
    <mergeCell ref="C16:F16"/>
    <mergeCell ref="A15:B15"/>
    <mergeCell ref="C15:F15"/>
    <mergeCell ref="L15:Q15"/>
    <mergeCell ref="L16:Q16"/>
    <mergeCell ref="G15:K15"/>
    <mergeCell ref="G16:K16"/>
    <mergeCell ref="G17:K17"/>
    <mergeCell ref="A14:B14"/>
    <mergeCell ref="C14:F14"/>
    <mergeCell ref="A13:B13"/>
    <mergeCell ref="C13:F13"/>
    <mergeCell ref="L13:Q13"/>
    <mergeCell ref="L14:Q14"/>
    <mergeCell ref="A12:B12"/>
    <mergeCell ref="C12:F12"/>
    <mergeCell ref="G12:K12"/>
    <mergeCell ref="G13:K13"/>
    <mergeCell ref="G14:K14"/>
    <mergeCell ref="A11:B11"/>
    <mergeCell ref="C11:F11"/>
    <mergeCell ref="A10:B10"/>
    <mergeCell ref="C10:F10"/>
    <mergeCell ref="A9:B9"/>
    <mergeCell ref="C9:F9"/>
    <mergeCell ref="G9:K9"/>
    <mergeCell ref="G10:K10"/>
    <mergeCell ref="G11:K11"/>
    <mergeCell ref="A8:B8"/>
    <mergeCell ref="C8:F8"/>
    <mergeCell ref="A7:B7"/>
    <mergeCell ref="C7:F7"/>
    <mergeCell ref="A4:B4"/>
    <mergeCell ref="A5:B5"/>
    <mergeCell ref="C4:F4"/>
    <mergeCell ref="C5:F5"/>
    <mergeCell ref="G4:K4"/>
    <mergeCell ref="G5:K5"/>
    <mergeCell ref="G6:K6"/>
    <mergeCell ref="G7:K7"/>
    <mergeCell ref="G8:K8"/>
    <mergeCell ref="A6:B6"/>
    <mergeCell ref="C6:F6"/>
    <mergeCell ref="L5:Q5"/>
    <mergeCell ref="L6:Q6"/>
    <mergeCell ref="A1:F1"/>
    <mergeCell ref="G1:X1"/>
    <mergeCell ref="Y1:AD1"/>
    <mergeCell ref="AE1:AN1"/>
    <mergeCell ref="AO1:AR1"/>
    <mergeCell ref="AS1:AW1"/>
    <mergeCell ref="AX1:BA1"/>
    <mergeCell ref="A2:F2"/>
    <mergeCell ref="L4:Q4"/>
    <mergeCell ref="Y2:AD2"/>
    <mergeCell ref="AE2:AN2"/>
    <mergeCell ref="AO2:AR2"/>
    <mergeCell ref="AS2:AW2"/>
    <mergeCell ref="AX2:BA2"/>
    <mergeCell ref="X6:BE6"/>
    <mergeCell ref="BB1:BF1"/>
    <mergeCell ref="G2:X2"/>
    <mergeCell ref="R4:W4"/>
    <mergeCell ref="X4:BE4"/>
    <mergeCell ref="R5:W5"/>
    <mergeCell ref="X5:BE5"/>
    <mergeCell ref="R6:W6"/>
    <mergeCell ref="R27:W27"/>
    <mergeCell ref="X27:BE27"/>
    <mergeCell ref="R28:W28"/>
    <mergeCell ref="X28:BE28"/>
    <mergeCell ref="R29:W29"/>
    <mergeCell ref="X29:BE29"/>
    <mergeCell ref="R30:W30"/>
    <mergeCell ref="X30:BE30"/>
    <mergeCell ref="R31:W31"/>
    <mergeCell ref="X31:BE3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F53"/>
  <sheetViews>
    <sheetView workbookViewId="0">
      <selection sqref="A1:F1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48" t="s">
        <v>28</v>
      </c>
      <c r="B1" s="48"/>
      <c r="C1" s="48"/>
      <c r="D1" s="48"/>
      <c r="E1" s="48"/>
      <c r="F1" s="48"/>
      <c r="G1" s="49" t="str">
        <f ca="1">IF(ISBLANK([1]改訂履歴!G1),"",([1]改訂履歴!G1))</f>
        <v>DOC00002_詳細設計書_MIPG00002_計算アプリ_IOS</v>
      </c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8" t="s">
        <v>29</v>
      </c>
      <c r="Z1" s="48"/>
      <c r="AA1" s="48"/>
      <c r="AB1" s="48"/>
      <c r="AC1" s="48"/>
      <c r="AD1" s="48"/>
      <c r="AE1" s="49" t="str">
        <f ca="1">IF(ISBLANK([1]改訂履歴!$AE$1),"",([1]改訂履歴!$AE$1))</f>
        <v>DOC00002</v>
      </c>
      <c r="AF1" s="49"/>
      <c r="AG1" s="49"/>
      <c r="AH1" s="49"/>
      <c r="AI1" s="49"/>
      <c r="AJ1" s="49"/>
      <c r="AK1" s="49"/>
      <c r="AL1" s="49"/>
      <c r="AM1" s="49"/>
      <c r="AN1" s="49"/>
      <c r="AO1" s="48" t="s">
        <v>31</v>
      </c>
      <c r="AP1" s="48"/>
      <c r="AQ1" s="48"/>
      <c r="AR1" s="48"/>
      <c r="AS1" s="50" t="str">
        <f>IF(ISBLANK([1]改訂履歴!AS1),"",([1]改訂履歴!AS1))</f>
        <v>第2版</v>
      </c>
      <c r="AT1" s="51"/>
      <c r="AU1" s="51"/>
      <c r="AV1" s="51"/>
      <c r="AW1" s="52"/>
      <c r="AX1" s="48" t="s">
        <v>33</v>
      </c>
      <c r="AY1" s="48"/>
      <c r="AZ1" s="48"/>
      <c r="BA1" s="48"/>
      <c r="BB1" s="59" t="str">
        <f ca="1">IF(ISBLANK([1]改訂履歴!BB1),"",([1]改訂履歴!BB1))</f>
        <v>水谷</v>
      </c>
      <c r="BC1" s="60"/>
      <c r="BD1" s="60"/>
      <c r="BE1" s="60"/>
      <c r="BF1" s="61"/>
    </row>
    <row r="2" spans="1:58" x14ac:dyDescent="0.15">
      <c r="A2" s="48" t="s">
        <v>0</v>
      </c>
      <c r="B2" s="48"/>
      <c r="C2" s="48"/>
      <c r="D2" s="48"/>
      <c r="E2" s="48"/>
      <c r="F2" s="48"/>
      <c r="G2" s="49" t="str">
        <f ca="1">IF(ISBLANK([1]改訂履歴!G2),"",([1]改訂履歴!G2))</f>
        <v>計算アプリ_IOS</v>
      </c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8" t="s">
        <v>4</v>
      </c>
      <c r="Z2" s="48"/>
      <c r="AA2" s="48"/>
      <c r="AB2" s="48"/>
      <c r="AC2" s="48"/>
      <c r="AD2" s="48"/>
      <c r="AE2" s="49" t="str">
        <f ca="1">IF(ISBLANK([1]改訂履歴!$AE$2),"",([1]改訂履歴!$AE$2))</f>
        <v>MIPG00002</v>
      </c>
      <c r="AF2" s="49"/>
      <c r="AG2" s="49"/>
      <c r="AH2" s="49"/>
      <c r="AI2" s="49"/>
      <c r="AJ2" s="49"/>
      <c r="AK2" s="49"/>
      <c r="AL2" s="49"/>
      <c r="AM2" s="49"/>
      <c r="AN2" s="49"/>
      <c r="AO2" s="48" t="s">
        <v>32</v>
      </c>
      <c r="AP2" s="48"/>
      <c r="AQ2" s="48"/>
      <c r="AR2" s="48"/>
      <c r="AS2" s="56">
        <f>IF(ISBLANK([1]改訂履歴!AS2),"",([1]改訂履歴!AS2))</f>
        <v>44853</v>
      </c>
      <c r="AT2" s="57"/>
      <c r="AU2" s="57"/>
      <c r="AV2" s="57"/>
      <c r="AW2" s="58"/>
      <c r="AX2" s="48" t="s">
        <v>34</v>
      </c>
      <c r="AY2" s="48"/>
      <c r="AZ2" s="48"/>
      <c r="BA2" s="48"/>
      <c r="BB2" s="56">
        <f ca="1">IF(ISBLANK([1]改訂履歴!BB2),"",([1]改訂履歴!BB2))</f>
        <v>44870</v>
      </c>
      <c r="BC2" s="57"/>
      <c r="BD2" s="57"/>
      <c r="BE2" s="57"/>
      <c r="BF2" s="58"/>
    </row>
    <row r="3" spans="1:58" x14ac:dyDescent="0.15">
      <c r="B3" s="2"/>
    </row>
    <row r="4" spans="1:58" x14ac:dyDescent="0.15">
      <c r="A4" s="3" t="s">
        <v>24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5"/>
    </row>
    <row r="5" spans="1:58" x14ac:dyDescent="0.15">
      <c r="A5" s="2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8"/>
    </row>
    <row r="6" spans="1:58" x14ac:dyDescent="0.15">
      <c r="A6" s="29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1"/>
    </row>
    <row r="7" spans="1:58" x14ac:dyDescent="0.15">
      <c r="A7" s="29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1"/>
    </row>
    <row r="8" spans="1:58" x14ac:dyDescent="0.15">
      <c r="A8" s="29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1"/>
    </row>
    <row r="9" spans="1:58" x14ac:dyDescent="0.15">
      <c r="A9" s="29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1"/>
    </row>
    <row r="10" spans="1:58" x14ac:dyDescent="0.15">
      <c r="A10" s="29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1"/>
    </row>
    <row r="11" spans="1:58" x14ac:dyDescent="0.15">
      <c r="A11" s="29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1"/>
    </row>
    <row r="12" spans="1:58" x14ac:dyDescent="0.15">
      <c r="A12" s="29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1"/>
    </row>
    <row r="13" spans="1:58" x14ac:dyDescent="0.15">
      <c r="A13" s="29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1"/>
    </row>
    <row r="14" spans="1:58" x14ac:dyDescent="0.15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1"/>
    </row>
    <row r="15" spans="1:58" x14ac:dyDescent="0.15">
      <c r="A15" s="29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1"/>
    </row>
    <row r="16" spans="1:58" x14ac:dyDescent="0.15">
      <c r="A16" s="29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1"/>
    </row>
    <row r="17" spans="1:50" x14ac:dyDescent="0.15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1"/>
    </row>
    <row r="18" spans="1:50" x14ac:dyDescent="0.15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1"/>
    </row>
    <row r="19" spans="1:50" x14ac:dyDescent="0.1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1"/>
    </row>
    <row r="20" spans="1:50" x14ac:dyDescent="0.15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1"/>
    </row>
    <row r="21" spans="1:50" x14ac:dyDescent="0.1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1"/>
    </row>
    <row r="22" spans="1:50" x14ac:dyDescent="0.15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1"/>
    </row>
    <row r="23" spans="1:50" x14ac:dyDescent="0.15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1"/>
    </row>
    <row r="24" spans="1:50" x14ac:dyDescent="0.15">
      <c r="A24" s="29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1"/>
    </row>
    <row r="25" spans="1:50" x14ac:dyDescent="0.15">
      <c r="A25" s="29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1"/>
    </row>
    <row r="26" spans="1:50" x14ac:dyDescent="0.15">
      <c r="A26" s="29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1"/>
    </row>
    <row r="27" spans="1:50" x14ac:dyDescent="0.15">
      <c r="A27" s="29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1"/>
    </row>
    <row r="28" spans="1:50" x14ac:dyDescent="0.15">
      <c r="A28" s="29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1"/>
    </row>
    <row r="29" spans="1:50" x14ac:dyDescent="0.15">
      <c r="A29" s="29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1"/>
    </row>
    <row r="30" spans="1:50" x14ac:dyDescent="0.15">
      <c r="A30" s="29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1"/>
    </row>
    <row r="31" spans="1:50" x14ac:dyDescent="0.15">
      <c r="A31" s="29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1"/>
    </row>
    <row r="32" spans="1:50" x14ac:dyDescent="0.15">
      <c r="A32" s="29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1"/>
    </row>
    <row r="33" spans="1:50" x14ac:dyDescent="0.15">
      <c r="A33" s="29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1"/>
    </row>
    <row r="34" spans="1:50" x14ac:dyDescent="0.15">
      <c r="A34" s="29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1"/>
    </row>
    <row r="35" spans="1:50" x14ac:dyDescent="0.15">
      <c r="A35" s="29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1"/>
    </row>
    <row r="36" spans="1:50" x14ac:dyDescent="0.15">
      <c r="A36" s="29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1"/>
    </row>
    <row r="37" spans="1:50" x14ac:dyDescent="0.15">
      <c r="A37" s="29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1"/>
    </row>
    <row r="38" spans="1:50" x14ac:dyDescent="0.15">
      <c r="A38" s="29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1"/>
    </row>
    <row r="39" spans="1:50" x14ac:dyDescent="0.15">
      <c r="A39" s="29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1"/>
    </row>
    <row r="40" spans="1:50" x14ac:dyDescent="0.15">
      <c r="A40" s="29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1"/>
    </row>
    <row r="41" spans="1:50" x14ac:dyDescent="0.15">
      <c r="A41" s="29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1"/>
    </row>
    <row r="42" spans="1:50" x14ac:dyDescent="0.15">
      <c r="A42" s="29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1"/>
    </row>
    <row r="43" spans="1:50" x14ac:dyDescent="0.15">
      <c r="A43" s="29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1"/>
    </row>
    <row r="44" spans="1:50" x14ac:dyDescent="0.15">
      <c r="A44" s="29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1"/>
    </row>
    <row r="45" spans="1:50" x14ac:dyDescent="0.15">
      <c r="A45" s="29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1"/>
    </row>
    <row r="46" spans="1:50" x14ac:dyDescent="0.15">
      <c r="A46" s="29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1"/>
    </row>
    <row r="47" spans="1:50" x14ac:dyDescent="0.15">
      <c r="A47" s="29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1"/>
    </row>
    <row r="48" spans="1:50" x14ac:dyDescent="0.15">
      <c r="A48" s="29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1"/>
    </row>
    <row r="49" spans="1:50" x14ac:dyDescent="0.15">
      <c r="A49" s="29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1"/>
    </row>
    <row r="50" spans="1:50" x14ac:dyDescent="0.15">
      <c r="A50" s="29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1"/>
    </row>
    <row r="51" spans="1:50" x14ac:dyDescent="0.15">
      <c r="A51" s="29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1"/>
    </row>
    <row r="52" spans="1:50" x14ac:dyDescent="0.15">
      <c r="A52" s="36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8"/>
    </row>
    <row r="53" spans="1:50" x14ac:dyDescent="0.15">
      <c r="J53" s="27"/>
    </row>
  </sheetData>
  <mergeCells count="16">
    <mergeCell ref="G2:X2"/>
    <mergeCell ref="Y2:AD2"/>
    <mergeCell ref="AE2:AN2"/>
    <mergeCell ref="AO2:AR2"/>
    <mergeCell ref="AS2:AW2"/>
    <mergeCell ref="AX2:BA2"/>
    <mergeCell ref="BB2:BF2"/>
    <mergeCell ref="G1:X1"/>
    <mergeCell ref="Y1:AD1"/>
    <mergeCell ref="AE1:AN1"/>
    <mergeCell ref="AO1:AR1"/>
    <mergeCell ref="AS1:AW1"/>
    <mergeCell ref="AX1:BA1"/>
    <mergeCell ref="BB1:BF1"/>
    <mergeCell ref="A1:F1"/>
    <mergeCell ref="A2:F2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F52"/>
  <sheetViews>
    <sheetView workbookViewId="0">
      <selection sqref="A1:F1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48" t="s">
        <v>28</v>
      </c>
      <c r="B1" s="48"/>
      <c r="C1" s="48"/>
      <c r="D1" s="48"/>
      <c r="E1" s="48"/>
      <c r="F1" s="48"/>
      <c r="G1" s="49" t="str">
        <f ca="1">IF(ISBLANK([1]改訂履歴!G1),"",([1]改訂履歴!G1))</f>
        <v>DOC00002_詳細設計書_MIPG00002_計算アプリ_IOS</v>
      </c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8" t="s">
        <v>29</v>
      </c>
      <c r="Z1" s="48"/>
      <c r="AA1" s="48"/>
      <c r="AB1" s="48"/>
      <c r="AC1" s="48"/>
      <c r="AD1" s="48"/>
      <c r="AE1" s="49" t="str">
        <f ca="1">IF(ISBLANK([1]改訂履歴!$AE$1),"",([1]改訂履歴!$AE$1))</f>
        <v>DOC00002</v>
      </c>
      <c r="AF1" s="49"/>
      <c r="AG1" s="49"/>
      <c r="AH1" s="49"/>
      <c r="AI1" s="49"/>
      <c r="AJ1" s="49"/>
      <c r="AK1" s="49"/>
      <c r="AL1" s="49"/>
      <c r="AM1" s="49"/>
      <c r="AN1" s="49"/>
      <c r="AO1" s="48" t="s">
        <v>31</v>
      </c>
      <c r="AP1" s="48"/>
      <c r="AQ1" s="48"/>
      <c r="AR1" s="48"/>
      <c r="AS1" s="50" t="str">
        <f>IF(ISBLANK([1]改訂履歴!AS1),"",([1]改訂履歴!AS1))</f>
        <v>第2版</v>
      </c>
      <c r="AT1" s="51"/>
      <c r="AU1" s="51"/>
      <c r="AV1" s="51"/>
      <c r="AW1" s="52"/>
      <c r="AX1" s="48" t="s">
        <v>33</v>
      </c>
      <c r="AY1" s="48"/>
      <c r="AZ1" s="48"/>
      <c r="BA1" s="48"/>
      <c r="BB1" s="59" t="str">
        <f ca="1">IF(ISBLANK([1]改訂履歴!BB1),"",([1]改訂履歴!BB1))</f>
        <v>水谷</v>
      </c>
      <c r="BC1" s="60"/>
      <c r="BD1" s="60"/>
      <c r="BE1" s="60"/>
      <c r="BF1" s="61"/>
    </row>
    <row r="2" spans="1:58" x14ac:dyDescent="0.15">
      <c r="A2" s="48" t="s">
        <v>0</v>
      </c>
      <c r="B2" s="48"/>
      <c r="C2" s="48"/>
      <c r="D2" s="48"/>
      <c r="E2" s="48"/>
      <c r="F2" s="48"/>
      <c r="G2" s="49" t="str">
        <f ca="1">IF(ISBLANK([1]改訂履歴!G2),"",([1]改訂履歴!G2))</f>
        <v>計算アプリ_IOS</v>
      </c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8" t="s">
        <v>4</v>
      </c>
      <c r="Z2" s="48"/>
      <c r="AA2" s="48"/>
      <c r="AB2" s="48"/>
      <c r="AC2" s="48"/>
      <c r="AD2" s="48"/>
      <c r="AE2" s="49" t="str">
        <f ca="1">IF(ISBLANK([1]改訂履歴!$AE$2),"",([1]改訂履歴!$AE$2))</f>
        <v>MIPG00002</v>
      </c>
      <c r="AF2" s="49"/>
      <c r="AG2" s="49"/>
      <c r="AH2" s="49"/>
      <c r="AI2" s="49"/>
      <c r="AJ2" s="49"/>
      <c r="AK2" s="49"/>
      <c r="AL2" s="49"/>
      <c r="AM2" s="49"/>
      <c r="AN2" s="49"/>
      <c r="AO2" s="48" t="s">
        <v>32</v>
      </c>
      <c r="AP2" s="48"/>
      <c r="AQ2" s="48"/>
      <c r="AR2" s="48"/>
      <c r="AS2" s="56">
        <f>IF(ISBLANK([1]改訂履歴!AS2),"",([1]改訂履歴!AS2))</f>
        <v>44853</v>
      </c>
      <c r="AT2" s="57"/>
      <c r="AU2" s="57"/>
      <c r="AV2" s="57"/>
      <c r="AW2" s="58"/>
      <c r="AX2" s="48" t="s">
        <v>34</v>
      </c>
      <c r="AY2" s="48"/>
      <c r="AZ2" s="48"/>
      <c r="BA2" s="48"/>
      <c r="BB2" s="56">
        <f ca="1">IF(ISBLANK([1]改訂履歴!BB2),"",([1]改訂履歴!BB2))</f>
        <v>44870</v>
      </c>
      <c r="BC2" s="57"/>
      <c r="BD2" s="57"/>
      <c r="BE2" s="57"/>
      <c r="BF2" s="58"/>
    </row>
    <row r="3" spans="1:58" x14ac:dyDescent="0.15">
      <c r="B3" s="2"/>
    </row>
    <row r="4" spans="1:58" x14ac:dyDescent="0.15">
      <c r="A4" s="3" t="s">
        <v>8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5"/>
    </row>
    <row r="5" spans="1:58" x14ac:dyDescent="0.15">
      <c r="A5" s="2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8"/>
    </row>
    <row r="6" spans="1:58" x14ac:dyDescent="0.15">
      <c r="A6" s="29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1"/>
    </row>
    <row r="7" spans="1:58" x14ac:dyDescent="0.15">
      <c r="A7" s="29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1"/>
    </row>
    <row r="8" spans="1:58" x14ac:dyDescent="0.15">
      <c r="A8" s="29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1"/>
    </row>
    <row r="9" spans="1:58" x14ac:dyDescent="0.15">
      <c r="A9" s="29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1"/>
    </row>
    <row r="10" spans="1:58" x14ac:dyDescent="0.15">
      <c r="A10" s="29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1"/>
    </row>
    <row r="11" spans="1:58" x14ac:dyDescent="0.15">
      <c r="A11" s="29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1"/>
    </row>
    <row r="12" spans="1:58" x14ac:dyDescent="0.15">
      <c r="A12" s="29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1"/>
    </row>
    <row r="13" spans="1:58" x14ac:dyDescent="0.15">
      <c r="A13" s="29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1"/>
    </row>
    <row r="14" spans="1:58" x14ac:dyDescent="0.15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1"/>
    </row>
    <row r="15" spans="1:58" x14ac:dyDescent="0.15">
      <c r="A15" s="29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1"/>
    </row>
    <row r="16" spans="1:58" x14ac:dyDescent="0.15">
      <c r="A16" s="29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1"/>
    </row>
    <row r="17" spans="1:50" x14ac:dyDescent="0.15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1"/>
    </row>
    <row r="18" spans="1:50" x14ac:dyDescent="0.15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1"/>
    </row>
    <row r="19" spans="1:50" x14ac:dyDescent="0.1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1"/>
    </row>
    <row r="20" spans="1:50" x14ac:dyDescent="0.15">
      <c r="A20" s="32" t="s">
        <v>10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4"/>
    </row>
    <row r="21" spans="1:50" x14ac:dyDescent="0.15">
      <c r="A21" s="35" t="s">
        <v>6</v>
      </c>
      <c r="B21" s="78" t="s">
        <v>2</v>
      </c>
      <c r="C21" s="79"/>
      <c r="D21" s="79"/>
      <c r="E21" s="79"/>
      <c r="F21" s="79"/>
      <c r="G21" s="79"/>
      <c r="H21" s="79"/>
      <c r="I21" s="79"/>
      <c r="J21" s="79"/>
      <c r="K21" s="80"/>
      <c r="L21" s="78" t="s">
        <v>3</v>
      </c>
      <c r="M21" s="79"/>
      <c r="N21" s="79"/>
      <c r="O21" s="79"/>
      <c r="P21" s="79"/>
      <c r="Q21" s="79"/>
      <c r="R21" s="79"/>
      <c r="S21" s="79"/>
      <c r="T21" s="79"/>
      <c r="U21" s="80"/>
      <c r="V21" s="78" t="s">
        <v>7</v>
      </c>
      <c r="W21" s="80"/>
      <c r="X21" s="78" t="s">
        <v>1</v>
      </c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80"/>
    </row>
    <row r="22" spans="1:50" x14ac:dyDescent="0.15">
      <c r="A22" s="25">
        <f>ROW()-21</f>
        <v>1</v>
      </c>
      <c r="B22" s="75"/>
      <c r="C22" s="76"/>
      <c r="D22" s="76"/>
      <c r="E22" s="76"/>
      <c r="F22" s="76"/>
      <c r="G22" s="76"/>
      <c r="H22" s="76"/>
      <c r="I22" s="76"/>
      <c r="J22" s="76"/>
      <c r="K22" s="77"/>
      <c r="L22" s="75"/>
      <c r="M22" s="76"/>
      <c r="N22" s="76"/>
      <c r="O22" s="76"/>
      <c r="P22" s="76"/>
      <c r="Q22" s="76"/>
      <c r="R22" s="76"/>
      <c r="S22" s="76"/>
      <c r="T22" s="76"/>
      <c r="U22" s="77"/>
      <c r="V22" s="81"/>
      <c r="W22" s="82"/>
      <c r="X22" s="75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7"/>
    </row>
    <row r="23" spans="1:50" x14ac:dyDescent="0.15">
      <c r="A23" s="25">
        <f t="shared" ref="A23:A30" si="0">ROW()-21</f>
        <v>2</v>
      </c>
      <c r="B23" s="75"/>
      <c r="C23" s="76"/>
      <c r="D23" s="76"/>
      <c r="E23" s="76"/>
      <c r="F23" s="76"/>
      <c r="G23" s="76"/>
      <c r="H23" s="76"/>
      <c r="I23" s="76"/>
      <c r="J23" s="76"/>
      <c r="K23" s="77"/>
      <c r="L23" s="75"/>
      <c r="M23" s="76"/>
      <c r="N23" s="76"/>
      <c r="O23" s="76"/>
      <c r="P23" s="76"/>
      <c r="Q23" s="76"/>
      <c r="R23" s="76"/>
      <c r="S23" s="76"/>
      <c r="T23" s="76"/>
      <c r="U23" s="77"/>
      <c r="V23" s="81"/>
      <c r="W23" s="82"/>
      <c r="X23" s="75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7"/>
    </row>
    <row r="24" spans="1:50" x14ac:dyDescent="0.15">
      <c r="A24" s="25">
        <f t="shared" si="0"/>
        <v>3</v>
      </c>
      <c r="B24" s="75"/>
      <c r="C24" s="76"/>
      <c r="D24" s="76"/>
      <c r="E24" s="76"/>
      <c r="F24" s="76"/>
      <c r="G24" s="76"/>
      <c r="H24" s="76"/>
      <c r="I24" s="76"/>
      <c r="J24" s="76"/>
      <c r="K24" s="77"/>
      <c r="L24" s="75"/>
      <c r="M24" s="76"/>
      <c r="N24" s="76"/>
      <c r="O24" s="76"/>
      <c r="P24" s="76"/>
      <c r="Q24" s="76"/>
      <c r="R24" s="76"/>
      <c r="S24" s="76"/>
      <c r="T24" s="76"/>
      <c r="U24" s="77"/>
      <c r="V24" s="81"/>
      <c r="W24" s="82"/>
      <c r="X24" s="75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7"/>
    </row>
    <row r="25" spans="1:50" x14ac:dyDescent="0.15">
      <c r="A25" s="25">
        <f t="shared" si="0"/>
        <v>4</v>
      </c>
      <c r="B25" s="75"/>
      <c r="C25" s="76"/>
      <c r="D25" s="76"/>
      <c r="E25" s="76"/>
      <c r="F25" s="76"/>
      <c r="G25" s="76"/>
      <c r="H25" s="76"/>
      <c r="I25" s="76"/>
      <c r="J25" s="76"/>
      <c r="K25" s="77"/>
      <c r="L25" s="75"/>
      <c r="M25" s="76"/>
      <c r="N25" s="76"/>
      <c r="O25" s="76"/>
      <c r="P25" s="76"/>
      <c r="Q25" s="76"/>
      <c r="R25" s="76"/>
      <c r="S25" s="76"/>
      <c r="T25" s="76"/>
      <c r="U25" s="77"/>
      <c r="V25" s="81"/>
      <c r="W25" s="82"/>
      <c r="X25" s="75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7"/>
    </row>
    <row r="26" spans="1:50" x14ac:dyDescent="0.15">
      <c r="A26" s="25">
        <f t="shared" si="0"/>
        <v>5</v>
      </c>
      <c r="B26" s="75"/>
      <c r="C26" s="76"/>
      <c r="D26" s="76"/>
      <c r="E26" s="76"/>
      <c r="F26" s="76"/>
      <c r="G26" s="76"/>
      <c r="H26" s="76"/>
      <c r="I26" s="76"/>
      <c r="J26" s="76"/>
      <c r="K26" s="77"/>
      <c r="L26" s="75"/>
      <c r="M26" s="76"/>
      <c r="N26" s="76"/>
      <c r="O26" s="76"/>
      <c r="P26" s="76"/>
      <c r="Q26" s="76"/>
      <c r="R26" s="76"/>
      <c r="S26" s="76"/>
      <c r="T26" s="76"/>
      <c r="U26" s="77"/>
      <c r="V26" s="81"/>
      <c r="W26" s="82"/>
      <c r="X26" s="75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7"/>
    </row>
    <row r="27" spans="1:50" x14ac:dyDescent="0.15">
      <c r="A27" s="25">
        <f t="shared" si="0"/>
        <v>6</v>
      </c>
      <c r="B27" s="75"/>
      <c r="C27" s="76"/>
      <c r="D27" s="76"/>
      <c r="E27" s="76"/>
      <c r="F27" s="76"/>
      <c r="G27" s="76"/>
      <c r="H27" s="76"/>
      <c r="I27" s="76"/>
      <c r="J27" s="76"/>
      <c r="K27" s="77"/>
      <c r="L27" s="75"/>
      <c r="M27" s="76"/>
      <c r="N27" s="76"/>
      <c r="O27" s="76"/>
      <c r="P27" s="76"/>
      <c r="Q27" s="76"/>
      <c r="R27" s="76"/>
      <c r="S27" s="76"/>
      <c r="T27" s="76"/>
      <c r="U27" s="77"/>
      <c r="V27" s="81"/>
      <c r="W27" s="82"/>
      <c r="X27" s="75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7"/>
    </row>
    <row r="28" spans="1:50" x14ac:dyDescent="0.15">
      <c r="A28" s="25">
        <f t="shared" si="0"/>
        <v>7</v>
      </c>
      <c r="B28" s="75"/>
      <c r="C28" s="76"/>
      <c r="D28" s="76"/>
      <c r="E28" s="76"/>
      <c r="F28" s="76"/>
      <c r="G28" s="76"/>
      <c r="H28" s="76"/>
      <c r="I28" s="76"/>
      <c r="J28" s="76"/>
      <c r="K28" s="77"/>
      <c r="L28" s="75"/>
      <c r="M28" s="76"/>
      <c r="N28" s="76"/>
      <c r="O28" s="76"/>
      <c r="P28" s="76"/>
      <c r="Q28" s="76"/>
      <c r="R28" s="76"/>
      <c r="S28" s="76"/>
      <c r="T28" s="76"/>
      <c r="U28" s="77"/>
      <c r="V28" s="81"/>
      <c r="W28" s="82"/>
      <c r="X28" s="75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7"/>
    </row>
    <row r="29" spans="1:50" x14ac:dyDescent="0.15">
      <c r="A29" s="25">
        <f t="shared" si="0"/>
        <v>8</v>
      </c>
      <c r="B29" s="75"/>
      <c r="C29" s="76"/>
      <c r="D29" s="76"/>
      <c r="E29" s="76"/>
      <c r="F29" s="76"/>
      <c r="G29" s="76"/>
      <c r="H29" s="76"/>
      <c r="I29" s="76"/>
      <c r="J29" s="76"/>
      <c r="K29" s="77"/>
      <c r="L29" s="75"/>
      <c r="M29" s="76"/>
      <c r="N29" s="76"/>
      <c r="O29" s="76"/>
      <c r="P29" s="76"/>
      <c r="Q29" s="76"/>
      <c r="R29" s="76"/>
      <c r="S29" s="76"/>
      <c r="T29" s="76"/>
      <c r="U29" s="77"/>
      <c r="V29" s="81"/>
      <c r="W29" s="82"/>
      <c r="X29" s="75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7"/>
    </row>
    <row r="30" spans="1:50" x14ac:dyDescent="0.15">
      <c r="A30" s="25">
        <f t="shared" si="0"/>
        <v>9</v>
      </c>
      <c r="B30" s="75"/>
      <c r="C30" s="76"/>
      <c r="D30" s="76"/>
      <c r="E30" s="76"/>
      <c r="F30" s="76"/>
      <c r="G30" s="76"/>
      <c r="H30" s="76"/>
      <c r="I30" s="76"/>
      <c r="J30" s="76"/>
      <c r="K30" s="77"/>
      <c r="L30" s="75"/>
      <c r="M30" s="76"/>
      <c r="N30" s="76"/>
      <c r="O30" s="76"/>
      <c r="P30" s="76"/>
      <c r="Q30" s="76"/>
      <c r="R30" s="76"/>
      <c r="S30" s="76"/>
      <c r="T30" s="76"/>
      <c r="U30" s="77"/>
      <c r="V30" s="81"/>
      <c r="W30" s="82"/>
      <c r="X30" s="75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7"/>
    </row>
    <row r="31" spans="1:50" x14ac:dyDescent="0.15">
      <c r="A31" s="32" t="s">
        <v>5</v>
      </c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4"/>
    </row>
    <row r="32" spans="1:50" x14ac:dyDescent="0.15">
      <c r="A32" s="35" t="s">
        <v>6</v>
      </c>
      <c r="B32" s="78" t="s">
        <v>2</v>
      </c>
      <c r="C32" s="79"/>
      <c r="D32" s="79"/>
      <c r="E32" s="79"/>
      <c r="F32" s="79"/>
      <c r="G32" s="79"/>
      <c r="H32" s="79"/>
      <c r="I32" s="79"/>
      <c r="J32" s="79"/>
      <c r="K32" s="80"/>
      <c r="L32" s="78" t="s">
        <v>3</v>
      </c>
      <c r="M32" s="79"/>
      <c r="N32" s="79"/>
      <c r="O32" s="79"/>
      <c r="P32" s="79"/>
      <c r="Q32" s="79"/>
      <c r="R32" s="79"/>
      <c r="S32" s="79"/>
      <c r="T32" s="79"/>
      <c r="U32" s="80"/>
      <c r="V32" s="78" t="s">
        <v>7</v>
      </c>
      <c r="W32" s="80"/>
      <c r="X32" s="78" t="s">
        <v>1</v>
      </c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80"/>
    </row>
    <row r="33" spans="1:50" x14ac:dyDescent="0.15">
      <c r="A33" s="25">
        <f>ROW()-32</f>
        <v>1</v>
      </c>
      <c r="B33" s="75"/>
      <c r="C33" s="76"/>
      <c r="D33" s="76"/>
      <c r="E33" s="76"/>
      <c r="F33" s="76"/>
      <c r="G33" s="76"/>
      <c r="H33" s="76"/>
      <c r="I33" s="76"/>
      <c r="J33" s="76"/>
      <c r="K33" s="77"/>
      <c r="L33" s="75"/>
      <c r="M33" s="76"/>
      <c r="N33" s="76"/>
      <c r="O33" s="76"/>
      <c r="P33" s="76"/>
      <c r="Q33" s="76"/>
      <c r="R33" s="76"/>
      <c r="S33" s="76"/>
      <c r="T33" s="76"/>
      <c r="U33" s="77"/>
      <c r="V33" s="81"/>
      <c r="W33" s="82"/>
      <c r="X33" s="75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7"/>
    </row>
    <row r="34" spans="1:50" x14ac:dyDescent="0.15">
      <c r="A34" s="25">
        <f t="shared" ref="A34:A41" si="1">ROW()-32</f>
        <v>2</v>
      </c>
      <c r="B34" s="75"/>
      <c r="C34" s="76"/>
      <c r="D34" s="76"/>
      <c r="E34" s="76"/>
      <c r="F34" s="76"/>
      <c r="G34" s="76"/>
      <c r="H34" s="76"/>
      <c r="I34" s="76"/>
      <c r="J34" s="76"/>
      <c r="K34" s="77"/>
      <c r="L34" s="75"/>
      <c r="M34" s="76"/>
      <c r="N34" s="76"/>
      <c r="O34" s="76"/>
      <c r="P34" s="76"/>
      <c r="Q34" s="76"/>
      <c r="R34" s="76"/>
      <c r="S34" s="76"/>
      <c r="T34" s="76"/>
      <c r="U34" s="77"/>
      <c r="V34" s="81"/>
      <c r="W34" s="82"/>
      <c r="X34" s="75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7"/>
    </row>
    <row r="35" spans="1:50" x14ac:dyDescent="0.15">
      <c r="A35" s="25">
        <f t="shared" si="1"/>
        <v>3</v>
      </c>
      <c r="B35" s="75"/>
      <c r="C35" s="76"/>
      <c r="D35" s="76"/>
      <c r="E35" s="76"/>
      <c r="F35" s="76"/>
      <c r="G35" s="76"/>
      <c r="H35" s="76"/>
      <c r="I35" s="76"/>
      <c r="J35" s="76"/>
      <c r="K35" s="77"/>
      <c r="L35" s="75"/>
      <c r="M35" s="76"/>
      <c r="N35" s="76"/>
      <c r="O35" s="76"/>
      <c r="P35" s="76"/>
      <c r="Q35" s="76"/>
      <c r="R35" s="76"/>
      <c r="S35" s="76"/>
      <c r="T35" s="76"/>
      <c r="U35" s="77"/>
      <c r="V35" s="81"/>
      <c r="W35" s="82"/>
      <c r="X35" s="75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7"/>
    </row>
    <row r="36" spans="1:50" x14ac:dyDescent="0.15">
      <c r="A36" s="25">
        <f t="shared" si="1"/>
        <v>4</v>
      </c>
      <c r="B36" s="75"/>
      <c r="C36" s="76"/>
      <c r="D36" s="76"/>
      <c r="E36" s="76"/>
      <c r="F36" s="76"/>
      <c r="G36" s="76"/>
      <c r="H36" s="76"/>
      <c r="I36" s="76"/>
      <c r="J36" s="76"/>
      <c r="K36" s="77"/>
      <c r="L36" s="75"/>
      <c r="M36" s="76"/>
      <c r="N36" s="76"/>
      <c r="O36" s="76"/>
      <c r="P36" s="76"/>
      <c r="Q36" s="76"/>
      <c r="R36" s="76"/>
      <c r="S36" s="76"/>
      <c r="T36" s="76"/>
      <c r="U36" s="77"/>
      <c r="V36" s="81"/>
      <c r="W36" s="82"/>
      <c r="X36" s="75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7"/>
    </row>
    <row r="37" spans="1:50" x14ac:dyDescent="0.15">
      <c r="A37" s="25">
        <f t="shared" si="1"/>
        <v>5</v>
      </c>
      <c r="B37" s="75"/>
      <c r="C37" s="76"/>
      <c r="D37" s="76"/>
      <c r="E37" s="76"/>
      <c r="F37" s="76"/>
      <c r="G37" s="76"/>
      <c r="H37" s="76"/>
      <c r="I37" s="76"/>
      <c r="J37" s="76"/>
      <c r="K37" s="77"/>
      <c r="L37" s="75"/>
      <c r="M37" s="76"/>
      <c r="N37" s="76"/>
      <c r="O37" s="76"/>
      <c r="P37" s="76"/>
      <c r="Q37" s="76"/>
      <c r="R37" s="76"/>
      <c r="S37" s="76"/>
      <c r="T37" s="76"/>
      <c r="U37" s="77"/>
      <c r="V37" s="81"/>
      <c r="W37" s="82"/>
      <c r="X37" s="75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7"/>
    </row>
    <row r="38" spans="1:50" x14ac:dyDescent="0.15">
      <c r="A38" s="25">
        <f t="shared" si="1"/>
        <v>6</v>
      </c>
      <c r="B38" s="75"/>
      <c r="C38" s="76"/>
      <c r="D38" s="76"/>
      <c r="E38" s="76"/>
      <c r="F38" s="76"/>
      <c r="G38" s="76"/>
      <c r="H38" s="76"/>
      <c r="I38" s="76"/>
      <c r="J38" s="76"/>
      <c r="K38" s="77"/>
      <c r="L38" s="75"/>
      <c r="M38" s="76"/>
      <c r="N38" s="76"/>
      <c r="O38" s="76"/>
      <c r="P38" s="76"/>
      <c r="Q38" s="76"/>
      <c r="R38" s="76"/>
      <c r="S38" s="76"/>
      <c r="T38" s="76"/>
      <c r="U38" s="77"/>
      <c r="V38" s="81"/>
      <c r="W38" s="82"/>
      <c r="X38" s="75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7"/>
    </row>
    <row r="39" spans="1:50" x14ac:dyDescent="0.15">
      <c r="A39" s="25">
        <f t="shared" si="1"/>
        <v>7</v>
      </c>
      <c r="B39" s="75"/>
      <c r="C39" s="76"/>
      <c r="D39" s="76"/>
      <c r="E39" s="76"/>
      <c r="F39" s="76"/>
      <c r="G39" s="76"/>
      <c r="H39" s="76"/>
      <c r="I39" s="76"/>
      <c r="J39" s="76"/>
      <c r="K39" s="77"/>
      <c r="L39" s="75"/>
      <c r="M39" s="76"/>
      <c r="N39" s="76"/>
      <c r="O39" s="76"/>
      <c r="P39" s="76"/>
      <c r="Q39" s="76"/>
      <c r="R39" s="76"/>
      <c r="S39" s="76"/>
      <c r="T39" s="76"/>
      <c r="U39" s="77"/>
      <c r="V39" s="81"/>
      <c r="W39" s="82"/>
      <c r="X39" s="75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7"/>
    </row>
    <row r="40" spans="1:50" x14ac:dyDescent="0.15">
      <c r="A40" s="25">
        <f t="shared" si="1"/>
        <v>8</v>
      </c>
      <c r="B40" s="75"/>
      <c r="C40" s="76"/>
      <c r="D40" s="76"/>
      <c r="E40" s="76"/>
      <c r="F40" s="76"/>
      <c r="G40" s="76"/>
      <c r="H40" s="76"/>
      <c r="I40" s="76"/>
      <c r="J40" s="76"/>
      <c r="K40" s="77"/>
      <c r="L40" s="75"/>
      <c r="M40" s="76"/>
      <c r="N40" s="76"/>
      <c r="O40" s="76"/>
      <c r="P40" s="76"/>
      <c r="Q40" s="76"/>
      <c r="R40" s="76"/>
      <c r="S40" s="76"/>
      <c r="T40" s="76"/>
      <c r="U40" s="77"/>
      <c r="V40" s="81"/>
      <c r="W40" s="82"/>
      <c r="X40" s="75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7"/>
    </row>
    <row r="41" spans="1:50" x14ac:dyDescent="0.15">
      <c r="A41" s="25">
        <f t="shared" si="1"/>
        <v>9</v>
      </c>
      <c r="B41" s="75"/>
      <c r="C41" s="76"/>
      <c r="D41" s="76"/>
      <c r="E41" s="76"/>
      <c r="F41" s="76"/>
      <c r="G41" s="76"/>
      <c r="H41" s="76"/>
      <c r="I41" s="76"/>
      <c r="J41" s="76"/>
      <c r="K41" s="77"/>
      <c r="L41" s="75"/>
      <c r="M41" s="76"/>
      <c r="N41" s="76"/>
      <c r="O41" s="76"/>
      <c r="P41" s="76"/>
      <c r="Q41" s="76"/>
      <c r="R41" s="76"/>
      <c r="S41" s="76"/>
      <c r="T41" s="76"/>
      <c r="U41" s="77"/>
      <c r="V41" s="81"/>
      <c r="W41" s="82"/>
      <c r="X41" s="75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7"/>
    </row>
    <row r="42" spans="1:50" x14ac:dyDescent="0.15">
      <c r="A42" s="32" t="s">
        <v>9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4"/>
    </row>
    <row r="43" spans="1:50" x14ac:dyDescent="0.15">
      <c r="A43" s="35" t="s">
        <v>6</v>
      </c>
      <c r="B43" s="78" t="s">
        <v>2</v>
      </c>
      <c r="C43" s="79"/>
      <c r="D43" s="79"/>
      <c r="E43" s="79"/>
      <c r="F43" s="79"/>
      <c r="G43" s="79"/>
      <c r="H43" s="79"/>
      <c r="I43" s="79"/>
      <c r="J43" s="79"/>
      <c r="K43" s="80"/>
      <c r="L43" s="78" t="s">
        <v>3</v>
      </c>
      <c r="M43" s="79"/>
      <c r="N43" s="79"/>
      <c r="O43" s="79"/>
      <c r="P43" s="79"/>
      <c r="Q43" s="79"/>
      <c r="R43" s="79"/>
      <c r="S43" s="79"/>
      <c r="T43" s="79"/>
      <c r="U43" s="80"/>
      <c r="V43" s="78" t="s">
        <v>7</v>
      </c>
      <c r="W43" s="80"/>
      <c r="X43" s="78" t="s">
        <v>1</v>
      </c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80"/>
    </row>
    <row r="44" spans="1:50" x14ac:dyDescent="0.15">
      <c r="A44" s="25">
        <f>ROW()-43</f>
        <v>1</v>
      </c>
      <c r="B44" s="75"/>
      <c r="C44" s="76"/>
      <c r="D44" s="76"/>
      <c r="E44" s="76"/>
      <c r="F44" s="76"/>
      <c r="G44" s="76"/>
      <c r="H44" s="76"/>
      <c r="I44" s="76"/>
      <c r="J44" s="76"/>
      <c r="K44" s="77"/>
      <c r="L44" s="75"/>
      <c r="M44" s="76"/>
      <c r="N44" s="76"/>
      <c r="O44" s="76"/>
      <c r="P44" s="76"/>
      <c r="Q44" s="76"/>
      <c r="R44" s="76"/>
      <c r="S44" s="76"/>
      <c r="T44" s="76"/>
      <c r="U44" s="77"/>
      <c r="V44" s="81"/>
      <c r="W44" s="82"/>
      <c r="X44" s="75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7"/>
    </row>
    <row r="45" spans="1:50" x14ac:dyDescent="0.15">
      <c r="A45" s="25">
        <f t="shared" ref="A45:A52" si="2">ROW()-43</f>
        <v>2</v>
      </c>
      <c r="B45" s="75"/>
      <c r="C45" s="76"/>
      <c r="D45" s="76"/>
      <c r="E45" s="76"/>
      <c r="F45" s="76"/>
      <c r="G45" s="76"/>
      <c r="H45" s="76"/>
      <c r="I45" s="76"/>
      <c r="J45" s="76"/>
      <c r="K45" s="77"/>
      <c r="L45" s="75"/>
      <c r="M45" s="76"/>
      <c r="N45" s="76"/>
      <c r="O45" s="76"/>
      <c r="P45" s="76"/>
      <c r="Q45" s="76"/>
      <c r="R45" s="76"/>
      <c r="S45" s="76"/>
      <c r="T45" s="76"/>
      <c r="U45" s="77"/>
      <c r="V45" s="81"/>
      <c r="W45" s="82"/>
      <c r="X45" s="75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7"/>
    </row>
    <row r="46" spans="1:50" x14ac:dyDescent="0.15">
      <c r="A46" s="25">
        <f t="shared" si="2"/>
        <v>3</v>
      </c>
      <c r="B46" s="75"/>
      <c r="C46" s="76"/>
      <c r="D46" s="76"/>
      <c r="E46" s="76"/>
      <c r="F46" s="76"/>
      <c r="G46" s="76"/>
      <c r="H46" s="76"/>
      <c r="I46" s="76"/>
      <c r="J46" s="76"/>
      <c r="K46" s="77"/>
      <c r="L46" s="75"/>
      <c r="M46" s="76"/>
      <c r="N46" s="76"/>
      <c r="O46" s="76"/>
      <c r="P46" s="76"/>
      <c r="Q46" s="76"/>
      <c r="R46" s="76"/>
      <c r="S46" s="76"/>
      <c r="T46" s="76"/>
      <c r="U46" s="77"/>
      <c r="V46" s="81"/>
      <c r="W46" s="82"/>
      <c r="X46" s="75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7"/>
    </row>
    <row r="47" spans="1:50" x14ac:dyDescent="0.15">
      <c r="A47" s="25">
        <f t="shared" si="2"/>
        <v>4</v>
      </c>
      <c r="B47" s="75"/>
      <c r="C47" s="76"/>
      <c r="D47" s="76"/>
      <c r="E47" s="76"/>
      <c r="F47" s="76"/>
      <c r="G47" s="76"/>
      <c r="H47" s="76"/>
      <c r="I47" s="76"/>
      <c r="J47" s="76"/>
      <c r="K47" s="77"/>
      <c r="L47" s="75"/>
      <c r="M47" s="76"/>
      <c r="N47" s="76"/>
      <c r="O47" s="76"/>
      <c r="P47" s="76"/>
      <c r="Q47" s="76"/>
      <c r="R47" s="76"/>
      <c r="S47" s="76"/>
      <c r="T47" s="76"/>
      <c r="U47" s="77"/>
      <c r="V47" s="81"/>
      <c r="W47" s="82"/>
      <c r="X47" s="75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7"/>
    </row>
    <row r="48" spans="1:50" x14ac:dyDescent="0.15">
      <c r="A48" s="25">
        <f t="shared" si="2"/>
        <v>5</v>
      </c>
      <c r="B48" s="75"/>
      <c r="C48" s="76"/>
      <c r="D48" s="76"/>
      <c r="E48" s="76"/>
      <c r="F48" s="76"/>
      <c r="G48" s="76"/>
      <c r="H48" s="76"/>
      <c r="I48" s="76"/>
      <c r="J48" s="76"/>
      <c r="K48" s="77"/>
      <c r="L48" s="75"/>
      <c r="M48" s="76"/>
      <c r="N48" s="76"/>
      <c r="O48" s="76"/>
      <c r="P48" s="76"/>
      <c r="Q48" s="76"/>
      <c r="R48" s="76"/>
      <c r="S48" s="76"/>
      <c r="T48" s="76"/>
      <c r="U48" s="77"/>
      <c r="V48" s="81"/>
      <c r="W48" s="82"/>
      <c r="X48" s="75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7"/>
    </row>
    <row r="49" spans="1:50" x14ac:dyDescent="0.15">
      <c r="A49" s="25">
        <f t="shared" si="2"/>
        <v>6</v>
      </c>
      <c r="B49" s="75"/>
      <c r="C49" s="76"/>
      <c r="D49" s="76"/>
      <c r="E49" s="76"/>
      <c r="F49" s="76"/>
      <c r="G49" s="76"/>
      <c r="H49" s="76"/>
      <c r="I49" s="76"/>
      <c r="J49" s="76"/>
      <c r="K49" s="77"/>
      <c r="L49" s="75"/>
      <c r="M49" s="76"/>
      <c r="N49" s="76"/>
      <c r="O49" s="76"/>
      <c r="P49" s="76"/>
      <c r="Q49" s="76"/>
      <c r="R49" s="76"/>
      <c r="S49" s="76"/>
      <c r="T49" s="76"/>
      <c r="U49" s="77"/>
      <c r="V49" s="81"/>
      <c r="W49" s="82"/>
      <c r="X49" s="75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7"/>
    </row>
    <row r="50" spans="1:50" x14ac:dyDescent="0.15">
      <c r="A50" s="25">
        <f t="shared" si="2"/>
        <v>7</v>
      </c>
      <c r="B50" s="75"/>
      <c r="C50" s="76"/>
      <c r="D50" s="76"/>
      <c r="E50" s="76"/>
      <c r="F50" s="76"/>
      <c r="G50" s="76"/>
      <c r="H50" s="76"/>
      <c r="I50" s="76"/>
      <c r="J50" s="76"/>
      <c r="K50" s="77"/>
      <c r="L50" s="75"/>
      <c r="M50" s="76"/>
      <c r="N50" s="76"/>
      <c r="O50" s="76"/>
      <c r="P50" s="76"/>
      <c r="Q50" s="76"/>
      <c r="R50" s="76"/>
      <c r="S50" s="76"/>
      <c r="T50" s="76"/>
      <c r="U50" s="77"/>
      <c r="V50" s="81"/>
      <c r="W50" s="82"/>
      <c r="X50" s="75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7"/>
    </row>
    <row r="51" spans="1:50" x14ac:dyDescent="0.15">
      <c r="A51" s="25">
        <f t="shared" si="2"/>
        <v>8</v>
      </c>
      <c r="B51" s="75"/>
      <c r="C51" s="76"/>
      <c r="D51" s="76"/>
      <c r="E51" s="76"/>
      <c r="F51" s="76"/>
      <c r="G51" s="76"/>
      <c r="H51" s="76"/>
      <c r="I51" s="76"/>
      <c r="J51" s="76"/>
      <c r="K51" s="77"/>
      <c r="L51" s="75"/>
      <c r="M51" s="76"/>
      <c r="N51" s="76"/>
      <c r="O51" s="76"/>
      <c r="P51" s="76"/>
      <c r="Q51" s="76"/>
      <c r="R51" s="76"/>
      <c r="S51" s="76"/>
      <c r="T51" s="76"/>
      <c r="U51" s="77"/>
      <c r="V51" s="81"/>
      <c r="W51" s="82"/>
      <c r="X51" s="75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7"/>
    </row>
    <row r="52" spans="1:50" x14ac:dyDescent="0.15">
      <c r="A52" s="25">
        <f t="shared" si="2"/>
        <v>9</v>
      </c>
      <c r="B52" s="75"/>
      <c r="C52" s="76"/>
      <c r="D52" s="76"/>
      <c r="E52" s="76"/>
      <c r="F52" s="76"/>
      <c r="G52" s="76"/>
      <c r="H52" s="76"/>
      <c r="I52" s="76"/>
      <c r="J52" s="76"/>
      <c r="K52" s="77"/>
      <c r="L52" s="75"/>
      <c r="M52" s="76"/>
      <c r="N52" s="76"/>
      <c r="O52" s="76"/>
      <c r="P52" s="76"/>
      <c r="Q52" s="76"/>
      <c r="R52" s="76"/>
      <c r="S52" s="76"/>
      <c r="T52" s="76"/>
      <c r="U52" s="77"/>
      <c r="V52" s="81"/>
      <c r="W52" s="82"/>
      <c r="X52" s="75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7"/>
    </row>
  </sheetData>
  <mergeCells count="136">
    <mergeCell ref="A1:F1"/>
    <mergeCell ref="G1:X1"/>
    <mergeCell ref="Y1:AD1"/>
    <mergeCell ref="AE1:AN1"/>
    <mergeCell ref="AO1:AR1"/>
    <mergeCell ref="AS1:AW1"/>
    <mergeCell ref="AX1:BA1"/>
    <mergeCell ref="BB1:BF1"/>
    <mergeCell ref="A2:F2"/>
    <mergeCell ref="G2:X2"/>
    <mergeCell ref="Y2:AD2"/>
    <mergeCell ref="AE2:AN2"/>
    <mergeCell ref="AO2:AR2"/>
    <mergeCell ref="AS2:AW2"/>
    <mergeCell ref="AX2:BA2"/>
    <mergeCell ref="BB2:BF2"/>
    <mergeCell ref="L23:U23"/>
    <mergeCell ref="L24:U24"/>
    <mergeCell ref="L25:U25"/>
    <mergeCell ref="L35:U35"/>
    <mergeCell ref="L26:U26"/>
    <mergeCell ref="L27:U27"/>
    <mergeCell ref="V36:W36"/>
    <mergeCell ref="V37:W37"/>
    <mergeCell ref="V21:W21"/>
    <mergeCell ref="V22:W22"/>
    <mergeCell ref="V23:W23"/>
    <mergeCell ref="V27:W27"/>
    <mergeCell ref="V30:W30"/>
    <mergeCell ref="V25:W25"/>
    <mergeCell ref="V26:W26"/>
    <mergeCell ref="V28:W28"/>
    <mergeCell ref="L28:U28"/>
    <mergeCell ref="L52:U52"/>
    <mergeCell ref="X52:AX52"/>
    <mergeCell ref="B47:K47"/>
    <mergeCell ref="B48:K48"/>
    <mergeCell ref="V52:W52"/>
    <mergeCell ref="B52:K52"/>
    <mergeCell ref="X49:AX49"/>
    <mergeCell ref="X50:AX50"/>
    <mergeCell ref="X51:AX51"/>
    <mergeCell ref="B49:K49"/>
    <mergeCell ref="B50:K50"/>
    <mergeCell ref="B51:K51"/>
    <mergeCell ref="V51:W51"/>
    <mergeCell ref="L51:U51"/>
    <mergeCell ref="L50:U50"/>
    <mergeCell ref="L47:U47"/>
    <mergeCell ref="L48:U48"/>
    <mergeCell ref="L49:U49"/>
    <mergeCell ref="V49:W49"/>
    <mergeCell ref="X47:AX47"/>
    <mergeCell ref="X48:AX48"/>
    <mergeCell ref="V50:W50"/>
    <mergeCell ref="X40:AX40"/>
    <mergeCell ref="X41:AX41"/>
    <mergeCell ref="X38:AX38"/>
    <mergeCell ref="X39:AX39"/>
    <mergeCell ref="V35:W35"/>
    <mergeCell ref="V29:W29"/>
    <mergeCell ref="L33:U33"/>
    <mergeCell ref="L29:U29"/>
    <mergeCell ref="L30:U30"/>
    <mergeCell ref="X32:AX32"/>
    <mergeCell ref="X33:AX33"/>
    <mergeCell ref="L36:U36"/>
    <mergeCell ref="L37:U37"/>
    <mergeCell ref="L38:U38"/>
    <mergeCell ref="V33:W33"/>
    <mergeCell ref="V34:W34"/>
    <mergeCell ref="V38:W38"/>
    <mergeCell ref="V39:W39"/>
    <mergeCell ref="L39:U39"/>
    <mergeCell ref="L40:U40"/>
    <mergeCell ref="L41:U41"/>
    <mergeCell ref="V43:W43"/>
    <mergeCell ref="V44:W44"/>
    <mergeCell ref="L44:U44"/>
    <mergeCell ref="V40:W40"/>
    <mergeCell ref="V41:W41"/>
    <mergeCell ref="V45:W45"/>
    <mergeCell ref="B30:K30"/>
    <mergeCell ref="B32:K32"/>
    <mergeCell ref="L34:U34"/>
    <mergeCell ref="X21:AX21"/>
    <mergeCell ref="X22:AX22"/>
    <mergeCell ref="X23:AX23"/>
    <mergeCell ref="X24:AX24"/>
    <mergeCell ref="X25:AX25"/>
    <mergeCell ref="X26:AX26"/>
    <mergeCell ref="X27:AX27"/>
    <mergeCell ref="X28:AX28"/>
    <mergeCell ref="B21:K21"/>
    <mergeCell ref="B22:K22"/>
    <mergeCell ref="B23:K23"/>
    <mergeCell ref="B24:K24"/>
    <mergeCell ref="B25:K25"/>
    <mergeCell ref="B26:K26"/>
    <mergeCell ref="B27:K27"/>
    <mergeCell ref="B28:K28"/>
    <mergeCell ref="V24:W24"/>
    <mergeCell ref="X29:AX29"/>
    <mergeCell ref="X30:AX30"/>
    <mergeCell ref="L21:U21"/>
    <mergeCell ref="L22:U22"/>
    <mergeCell ref="V46:W46"/>
    <mergeCell ref="V47:W47"/>
    <mergeCell ref="V48:W48"/>
    <mergeCell ref="B43:K43"/>
    <mergeCell ref="B44:K44"/>
    <mergeCell ref="B45:K45"/>
    <mergeCell ref="B46:K46"/>
    <mergeCell ref="X45:AX45"/>
    <mergeCell ref="X46:AX46"/>
    <mergeCell ref="L46:U46"/>
    <mergeCell ref="L43:U43"/>
    <mergeCell ref="L45:U45"/>
    <mergeCell ref="B41:K41"/>
    <mergeCell ref="B40:K40"/>
    <mergeCell ref="X37:AX37"/>
    <mergeCell ref="X43:AX43"/>
    <mergeCell ref="X44:AX44"/>
    <mergeCell ref="B38:K38"/>
    <mergeCell ref="B39:K39"/>
    <mergeCell ref="X34:AX34"/>
    <mergeCell ref="X35:AX35"/>
    <mergeCell ref="V32:W32"/>
    <mergeCell ref="B33:K33"/>
    <mergeCell ref="B34:K34"/>
    <mergeCell ref="B35:K35"/>
    <mergeCell ref="B36:K36"/>
    <mergeCell ref="X36:AX36"/>
    <mergeCell ref="B37:K37"/>
    <mergeCell ref="B29:K29"/>
    <mergeCell ref="L32:U32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54"/>
  <sheetViews>
    <sheetView workbookViewId="0">
      <pane ySplit="5" topLeftCell="A6" activePane="bottomLeft" state="frozen"/>
      <selection activeCell="X21" sqref="X21:BE21"/>
      <selection pane="bottomLeft" sqref="A1:F1"/>
    </sheetView>
  </sheetViews>
  <sheetFormatPr defaultColWidth="2.625" defaultRowHeight="13.5" x14ac:dyDescent="0.15"/>
  <cols>
    <col min="1" max="1" width="3.5" style="1" bestFit="1" customWidth="1"/>
    <col min="2" max="16384" width="2.625" style="1"/>
  </cols>
  <sheetData>
    <row r="1" spans="1:58" x14ac:dyDescent="0.15">
      <c r="A1" s="48" t="s">
        <v>28</v>
      </c>
      <c r="B1" s="48"/>
      <c r="C1" s="48"/>
      <c r="D1" s="48"/>
      <c r="E1" s="48"/>
      <c r="F1" s="48"/>
      <c r="G1" s="49" t="str">
        <f ca="1">IF(ISBLANK([1]改訂履歴!G1),"",([1]改訂履歴!G1))</f>
        <v>DOC00002_詳細設計書_MIPG00002_計算アプリ_IOS</v>
      </c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8" t="s">
        <v>29</v>
      </c>
      <c r="Z1" s="48"/>
      <c r="AA1" s="48"/>
      <c r="AB1" s="48"/>
      <c r="AC1" s="48"/>
      <c r="AD1" s="48"/>
      <c r="AE1" s="49" t="str">
        <f ca="1">IF(ISBLANK([1]改訂履歴!$AE$1),"",([1]改訂履歴!$AE$1))</f>
        <v>DOC00002</v>
      </c>
      <c r="AF1" s="49"/>
      <c r="AG1" s="49"/>
      <c r="AH1" s="49"/>
      <c r="AI1" s="49"/>
      <c r="AJ1" s="49"/>
      <c r="AK1" s="49"/>
      <c r="AL1" s="49"/>
      <c r="AM1" s="49"/>
      <c r="AN1" s="49"/>
      <c r="AO1" s="48" t="s">
        <v>31</v>
      </c>
      <c r="AP1" s="48"/>
      <c r="AQ1" s="48"/>
      <c r="AR1" s="48"/>
      <c r="AS1" s="50" t="str">
        <f>IF(ISBLANK([1]改訂履歴!AS1),"",([1]改訂履歴!AS1))</f>
        <v>第2版</v>
      </c>
      <c r="AT1" s="51"/>
      <c r="AU1" s="51"/>
      <c r="AV1" s="51"/>
      <c r="AW1" s="52"/>
      <c r="AX1" s="48" t="s">
        <v>33</v>
      </c>
      <c r="AY1" s="48"/>
      <c r="AZ1" s="48"/>
      <c r="BA1" s="48"/>
      <c r="BB1" s="59" t="str">
        <f ca="1">IF(ISBLANK([1]改訂履歴!BB1),"",([1]改訂履歴!BB1))</f>
        <v>水谷</v>
      </c>
      <c r="BC1" s="60"/>
      <c r="BD1" s="60"/>
      <c r="BE1" s="60"/>
      <c r="BF1" s="61"/>
    </row>
    <row r="2" spans="1:58" x14ac:dyDescent="0.15">
      <c r="A2" s="48" t="s">
        <v>0</v>
      </c>
      <c r="B2" s="48"/>
      <c r="C2" s="48"/>
      <c r="D2" s="48"/>
      <c r="E2" s="48"/>
      <c r="F2" s="48"/>
      <c r="G2" s="49" t="str">
        <f ca="1">IF(ISBLANK([1]改訂履歴!G2),"",([1]改訂履歴!G2))</f>
        <v>計算アプリ_IOS</v>
      </c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8" t="s">
        <v>4</v>
      </c>
      <c r="Z2" s="48"/>
      <c r="AA2" s="48"/>
      <c r="AB2" s="48"/>
      <c r="AC2" s="48"/>
      <c r="AD2" s="48"/>
      <c r="AE2" s="49" t="str">
        <f ca="1">IF(ISBLANK([1]改訂履歴!$AE$2),"",([1]改訂履歴!$AE$2))</f>
        <v>MIPG00002</v>
      </c>
      <c r="AF2" s="49"/>
      <c r="AG2" s="49"/>
      <c r="AH2" s="49"/>
      <c r="AI2" s="49"/>
      <c r="AJ2" s="49"/>
      <c r="AK2" s="49"/>
      <c r="AL2" s="49"/>
      <c r="AM2" s="49"/>
      <c r="AN2" s="49"/>
      <c r="AO2" s="48" t="s">
        <v>32</v>
      </c>
      <c r="AP2" s="48"/>
      <c r="AQ2" s="48"/>
      <c r="AR2" s="48"/>
      <c r="AS2" s="56">
        <f>IF(ISBLANK([1]改訂履歴!AS2),"",([1]改訂履歴!AS2))</f>
        <v>44853</v>
      </c>
      <c r="AT2" s="57"/>
      <c r="AU2" s="57"/>
      <c r="AV2" s="57"/>
      <c r="AW2" s="58"/>
      <c r="AX2" s="48" t="s">
        <v>34</v>
      </c>
      <c r="AY2" s="48"/>
      <c r="AZ2" s="48"/>
      <c r="BA2" s="48"/>
      <c r="BB2" s="56">
        <f ca="1">IF(ISBLANK([1]改訂履歴!BB2),"",([1]改訂履歴!BB2))</f>
        <v>44870</v>
      </c>
      <c r="BC2" s="57"/>
      <c r="BD2" s="57"/>
      <c r="BE2" s="57"/>
      <c r="BF2" s="58"/>
    </row>
    <row r="3" spans="1:58" x14ac:dyDescent="0.15">
      <c r="B3" s="2"/>
    </row>
    <row r="4" spans="1:58" x14ac:dyDescent="0.15">
      <c r="A4" s="3" t="s">
        <v>12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</row>
    <row r="5" spans="1:58" x14ac:dyDescent="0.15">
      <c r="A5" s="24" t="s">
        <v>11</v>
      </c>
      <c r="B5" s="78" t="s">
        <v>13</v>
      </c>
      <c r="C5" s="79"/>
      <c r="D5" s="79"/>
      <c r="E5" s="79"/>
      <c r="F5" s="79"/>
      <c r="G5" s="79"/>
      <c r="H5" s="79"/>
      <c r="I5" s="79"/>
      <c r="J5" s="79"/>
      <c r="K5" s="80"/>
      <c r="L5" s="78" t="s">
        <v>14</v>
      </c>
      <c r="M5" s="79"/>
      <c r="N5" s="79"/>
      <c r="O5" s="79"/>
      <c r="P5" s="80"/>
      <c r="Q5" s="78" t="s">
        <v>19</v>
      </c>
      <c r="R5" s="80"/>
      <c r="S5" s="78" t="s">
        <v>15</v>
      </c>
      <c r="T5" s="80"/>
      <c r="U5" s="78" t="s">
        <v>16</v>
      </c>
      <c r="V5" s="79"/>
      <c r="W5" s="79"/>
      <c r="X5" s="79"/>
      <c r="Y5" s="79"/>
      <c r="Z5" s="79"/>
      <c r="AA5" s="80"/>
      <c r="AB5" s="78" t="s">
        <v>17</v>
      </c>
      <c r="AC5" s="79"/>
      <c r="AD5" s="79"/>
      <c r="AE5" s="79"/>
      <c r="AF5" s="79"/>
      <c r="AG5" s="79"/>
      <c r="AH5" s="79"/>
      <c r="AI5" s="80"/>
      <c r="AJ5" s="78" t="s">
        <v>18</v>
      </c>
      <c r="AK5" s="79"/>
      <c r="AL5" s="79"/>
      <c r="AM5" s="79"/>
      <c r="AN5" s="79"/>
      <c r="AO5" s="79"/>
      <c r="AP5" s="79"/>
      <c r="AQ5" s="80"/>
      <c r="AR5" s="78" t="s">
        <v>1</v>
      </c>
      <c r="AS5" s="79"/>
      <c r="AT5" s="79"/>
      <c r="AU5" s="79"/>
      <c r="AV5" s="79"/>
      <c r="AW5" s="79"/>
      <c r="AX5" s="80"/>
    </row>
    <row r="6" spans="1:58" x14ac:dyDescent="0.15">
      <c r="A6" s="25">
        <f>ROW()-5</f>
        <v>1</v>
      </c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4"/>
      <c r="R6" s="84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</row>
    <row r="7" spans="1:58" x14ac:dyDescent="0.15">
      <c r="A7" s="25">
        <f t="shared" ref="A7:A54" si="0">ROW()-5</f>
        <v>2</v>
      </c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4"/>
      <c r="R7" s="84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</row>
    <row r="8" spans="1:58" x14ac:dyDescent="0.15">
      <c r="A8" s="25">
        <f t="shared" si="0"/>
        <v>3</v>
      </c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4"/>
      <c r="R8" s="84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75"/>
      <c r="AK8" s="76"/>
      <c r="AL8" s="76"/>
      <c r="AM8" s="76"/>
      <c r="AN8" s="76"/>
      <c r="AO8" s="76"/>
      <c r="AP8" s="76"/>
      <c r="AQ8" s="77"/>
      <c r="AR8" s="83"/>
      <c r="AS8" s="83"/>
      <c r="AT8" s="83"/>
      <c r="AU8" s="83"/>
      <c r="AV8" s="83"/>
      <c r="AW8" s="83"/>
      <c r="AX8" s="83"/>
    </row>
    <row r="9" spans="1:58" x14ac:dyDescent="0.15">
      <c r="A9" s="25">
        <f>ROW()-5</f>
        <v>4</v>
      </c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4"/>
      <c r="R9" s="84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75"/>
      <c r="AK9" s="76"/>
      <c r="AL9" s="76"/>
      <c r="AM9" s="76"/>
      <c r="AN9" s="76"/>
      <c r="AO9" s="76"/>
      <c r="AP9" s="76"/>
      <c r="AQ9" s="77"/>
      <c r="AR9" s="83"/>
      <c r="AS9" s="83"/>
      <c r="AT9" s="83"/>
      <c r="AU9" s="83"/>
      <c r="AV9" s="83"/>
      <c r="AW9" s="83"/>
      <c r="AX9" s="83"/>
    </row>
    <row r="10" spans="1:58" x14ac:dyDescent="0.15">
      <c r="A10" s="25">
        <f t="shared" si="0"/>
        <v>5</v>
      </c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4"/>
      <c r="R10" s="84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75"/>
      <c r="AK10" s="76"/>
      <c r="AL10" s="76"/>
      <c r="AM10" s="76"/>
      <c r="AN10" s="76"/>
      <c r="AO10" s="76"/>
      <c r="AP10" s="76"/>
      <c r="AQ10" s="77"/>
      <c r="AR10" s="83"/>
      <c r="AS10" s="83"/>
      <c r="AT10" s="83"/>
      <c r="AU10" s="83"/>
      <c r="AV10" s="83"/>
      <c r="AW10" s="83"/>
      <c r="AX10" s="83"/>
    </row>
    <row r="11" spans="1:58" x14ac:dyDescent="0.15">
      <c r="A11" s="25">
        <f t="shared" si="0"/>
        <v>6</v>
      </c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4"/>
      <c r="R11" s="84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75"/>
      <c r="AK11" s="76"/>
      <c r="AL11" s="76"/>
      <c r="AM11" s="76"/>
      <c r="AN11" s="76"/>
      <c r="AO11" s="76"/>
      <c r="AP11" s="76"/>
      <c r="AQ11" s="77"/>
      <c r="AR11" s="83"/>
      <c r="AS11" s="83"/>
      <c r="AT11" s="83"/>
      <c r="AU11" s="83"/>
      <c r="AV11" s="83"/>
      <c r="AW11" s="83"/>
      <c r="AX11" s="83"/>
    </row>
    <row r="12" spans="1:58" x14ac:dyDescent="0.15">
      <c r="A12" s="25">
        <f t="shared" si="0"/>
        <v>7</v>
      </c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4"/>
      <c r="R12" s="84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75"/>
      <c r="AK12" s="76"/>
      <c r="AL12" s="76"/>
      <c r="AM12" s="76"/>
      <c r="AN12" s="76"/>
      <c r="AO12" s="76"/>
      <c r="AP12" s="76"/>
      <c r="AQ12" s="77"/>
      <c r="AR12" s="83"/>
      <c r="AS12" s="83"/>
      <c r="AT12" s="83"/>
      <c r="AU12" s="83"/>
      <c r="AV12" s="83"/>
      <c r="AW12" s="83"/>
      <c r="AX12" s="83"/>
    </row>
    <row r="13" spans="1:58" x14ac:dyDescent="0.15">
      <c r="A13" s="25">
        <f t="shared" si="0"/>
        <v>8</v>
      </c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4"/>
      <c r="R13" s="84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75"/>
      <c r="AK13" s="76"/>
      <c r="AL13" s="76"/>
      <c r="AM13" s="76"/>
      <c r="AN13" s="76"/>
      <c r="AO13" s="76"/>
      <c r="AP13" s="76"/>
      <c r="AQ13" s="77"/>
      <c r="AR13" s="83"/>
      <c r="AS13" s="83"/>
      <c r="AT13" s="83"/>
      <c r="AU13" s="83"/>
      <c r="AV13" s="83"/>
      <c r="AW13" s="83"/>
      <c r="AX13" s="83"/>
    </row>
    <row r="14" spans="1:58" x14ac:dyDescent="0.15">
      <c r="A14" s="25">
        <f t="shared" si="0"/>
        <v>9</v>
      </c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4"/>
      <c r="R14" s="84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75"/>
      <c r="AK14" s="76"/>
      <c r="AL14" s="76"/>
      <c r="AM14" s="76"/>
      <c r="AN14" s="76"/>
      <c r="AO14" s="76"/>
      <c r="AP14" s="76"/>
      <c r="AQ14" s="77"/>
      <c r="AR14" s="83"/>
      <c r="AS14" s="83"/>
      <c r="AT14" s="83"/>
      <c r="AU14" s="83"/>
      <c r="AV14" s="83"/>
      <c r="AW14" s="83"/>
      <c r="AX14" s="83"/>
    </row>
    <row r="15" spans="1:58" x14ac:dyDescent="0.15">
      <c r="A15" s="25">
        <f t="shared" si="0"/>
        <v>10</v>
      </c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4"/>
      <c r="R15" s="84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75"/>
      <c r="AK15" s="76"/>
      <c r="AL15" s="76"/>
      <c r="AM15" s="76"/>
      <c r="AN15" s="76"/>
      <c r="AO15" s="76"/>
      <c r="AP15" s="76"/>
      <c r="AQ15" s="77"/>
      <c r="AR15" s="83"/>
      <c r="AS15" s="83"/>
      <c r="AT15" s="83"/>
      <c r="AU15" s="83"/>
      <c r="AV15" s="83"/>
      <c r="AW15" s="83"/>
      <c r="AX15" s="83"/>
    </row>
    <row r="16" spans="1:58" x14ac:dyDescent="0.15">
      <c r="A16" s="25">
        <f t="shared" si="0"/>
        <v>11</v>
      </c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4"/>
      <c r="R16" s="84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75"/>
      <c r="AK16" s="76"/>
      <c r="AL16" s="76"/>
      <c r="AM16" s="76"/>
      <c r="AN16" s="76"/>
      <c r="AO16" s="76"/>
      <c r="AP16" s="76"/>
      <c r="AQ16" s="77"/>
      <c r="AR16" s="83"/>
      <c r="AS16" s="83"/>
      <c r="AT16" s="83"/>
      <c r="AU16" s="83"/>
      <c r="AV16" s="83"/>
      <c r="AW16" s="83"/>
      <c r="AX16" s="83"/>
    </row>
    <row r="17" spans="1:50" x14ac:dyDescent="0.15">
      <c r="A17" s="25">
        <f t="shared" si="0"/>
        <v>12</v>
      </c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4"/>
      <c r="R17" s="84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</row>
    <row r="18" spans="1:50" x14ac:dyDescent="0.15">
      <c r="A18" s="25">
        <f t="shared" si="0"/>
        <v>13</v>
      </c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4"/>
      <c r="R18" s="84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</row>
    <row r="19" spans="1:50" x14ac:dyDescent="0.15">
      <c r="A19" s="25">
        <f t="shared" si="0"/>
        <v>14</v>
      </c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4"/>
      <c r="R19" s="84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</row>
    <row r="20" spans="1:50" x14ac:dyDescent="0.15">
      <c r="A20" s="25">
        <f t="shared" si="0"/>
        <v>15</v>
      </c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4"/>
      <c r="R20" s="84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</row>
    <row r="21" spans="1:50" x14ac:dyDescent="0.15">
      <c r="A21" s="25">
        <f t="shared" si="0"/>
        <v>16</v>
      </c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4"/>
      <c r="R21" s="84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</row>
    <row r="22" spans="1:50" x14ac:dyDescent="0.15">
      <c r="A22" s="25">
        <f t="shared" si="0"/>
        <v>17</v>
      </c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4"/>
      <c r="R22" s="84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</row>
    <row r="23" spans="1:50" x14ac:dyDescent="0.15">
      <c r="A23" s="25">
        <f t="shared" si="0"/>
        <v>18</v>
      </c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4"/>
      <c r="R23" s="84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</row>
    <row r="24" spans="1:50" x14ac:dyDescent="0.15">
      <c r="A24" s="25">
        <f t="shared" si="0"/>
        <v>19</v>
      </c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4"/>
      <c r="R24" s="84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</row>
    <row r="25" spans="1:50" x14ac:dyDescent="0.15">
      <c r="A25" s="25">
        <f t="shared" si="0"/>
        <v>20</v>
      </c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4"/>
      <c r="R25" s="84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</row>
    <row r="26" spans="1:50" x14ac:dyDescent="0.15">
      <c r="A26" s="25">
        <f t="shared" si="0"/>
        <v>21</v>
      </c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4"/>
      <c r="R26" s="84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</row>
    <row r="27" spans="1:50" x14ac:dyDescent="0.15">
      <c r="A27" s="25">
        <f t="shared" si="0"/>
        <v>22</v>
      </c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4"/>
      <c r="R27" s="84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</row>
    <row r="28" spans="1:50" x14ac:dyDescent="0.15">
      <c r="A28" s="25">
        <f t="shared" si="0"/>
        <v>23</v>
      </c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4"/>
      <c r="R28" s="84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</row>
    <row r="29" spans="1:50" x14ac:dyDescent="0.15">
      <c r="A29" s="25">
        <f t="shared" si="0"/>
        <v>24</v>
      </c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4"/>
      <c r="R29" s="84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</row>
    <row r="30" spans="1:50" x14ac:dyDescent="0.15">
      <c r="A30" s="25">
        <f t="shared" si="0"/>
        <v>25</v>
      </c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4"/>
      <c r="R30" s="84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</row>
    <row r="31" spans="1:50" x14ac:dyDescent="0.15">
      <c r="A31" s="25">
        <f t="shared" si="0"/>
        <v>26</v>
      </c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4"/>
      <c r="R31" s="84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</row>
    <row r="32" spans="1:50" x14ac:dyDescent="0.15">
      <c r="A32" s="25">
        <f t="shared" si="0"/>
        <v>27</v>
      </c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4"/>
      <c r="R32" s="84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</row>
    <row r="33" spans="1:50" x14ac:dyDescent="0.15">
      <c r="A33" s="25">
        <f t="shared" si="0"/>
        <v>28</v>
      </c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4"/>
      <c r="R33" s="84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</row>
    <row r="34" spans="1:50" x14ac:dyDescent="0.15">
      <c r="A34" s="25">
        <f t="shared" si="0"/>
        <v>29</v>
      </c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4"/>
      <c r="R34" s="84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83"/>
    </row>
    <row r="35" spans="1:50" x14ac:dyDescent="0.15">
      <c r="A35" s="25">
        <f t="shared" si="0"/>
        <v>30</v>
      </c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4"/>
      <c r="R35" s="84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</row>
    <row r="36" spans="1:50" x14ac:dyDescent="0.15">
      <c r="A36" s="25">
        <f t="shared" si="0"/>
        <v>31</v>
      </c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4"/>
      <c r="R36" s="84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3"/>
    </row>
    <row r="37" spans="1:50" x14ac:dyDescent="0.15">
      <c r="A37" s="25">
        <f t="shared" si="0"/>
        <v>32</v>
      </c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4"/>
      <c r="R37" s="84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3"/>
    </row>
    <row r="38" spans="1:50" x14ac:dyDescent="0.15">
      <c r="A38" s="25">
        <f t="shared" si="0"/>
        <v>33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4"/>
      <c r="R38" s="84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</row>
    <row r="39" spans="1:50" x14ac:dyDescent="0.15">
      <c r="A39" s="25">
        <f t="shared" si="0"/>
        <v>34</v>
      </c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4"/>
      <c r="R39" s="84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</row>
    <row r="40" spans="1:50" x14ac:dyDescent="0.15">
      <c r="A40" s="25">
        <f t="shared" si="0"/>
        <v>35</v>
      </c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4"/>
      <c r="R40" s="84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</row>
    <row r="41" spans="1:50" x14ac:dyDescent="0.15">
      <c r="A41" s="25">
        <f t="shared" si="0"/>
        <v>36</v>
      </c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4"/>
      <c r="R41" s="84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83"/>
    </row>
    <row r="42" spans="1:50" x14ac:dyDescent="0.15">
      <c r="A42" s="25">
        <f t="shared" si="0"/>
        <v>37</v>
      </c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4"/>
      <c r="R42" s="84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</row>
    <row r="43" spans="1:50" x14ac:dyDescent="0.15">
      <c r="A43" s="25">
        <f t="shared" si="0"/>
        <v>38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4"/>
      <c r="R43" s="84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3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</row>
    <row r="44" spans="1:50" x14ac:dyDescent="0.15">
      <c r="A44" s="25">
        <f t="shared" si="0"/>
        <v>39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4"/>
      <c r="R44" s="84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3"/>
      <c r="AE44" s="83"/>
      <c r="AF44" s="83"/>
      <c r="AG44" s="83"/>
      <c r="AH44" s="83"/>
      <c r="AI44" s="83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3"/>
      <c r="AX44" s="83"/>
    </row>
    <row r="45" spans="1:50" x14ac:dyDescent="0.15">
      <c r="A45" s="25">
        <f t="shared" si="0"/>
        <v>40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4"/>
      <c r="R45" s="84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  <c r="AD45" s="83"/>
      <c r="AE45" s="83"/>
      <c r="AF45" s="83"/>
      <c r="AG45" s="83"/>
      <c r="AH45" s="83"/>
      <c r="AI45" s="83"/>
      <c r="AJ45" s="83"/>
      <c r="AK45" s="83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3"/>
      <c r="AX45" s="83"/>
    </row>
    <row r="46" spans="1:50" x14ac:dyDescent="0.15">
      <c r="A46" s="25">
        <f t="shared" si="0"/>
        <v>41</v>
      </c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4"/>
      <c r="R46" s="84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3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3"/>
      <c r="AV46" s="83"/>
      <c r="AW46" s="83"/>
      <c r="AX46" s="83"/>
    </row>
    <row r="47" spans="1:50" x14ac:dyDescent="0.15">
      <c r="A47" s="25">
        <f t="shared" si="0"/>
        <v>42</v>
      </c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4"/>
      <c r="R47" s="84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83"/>
      <c r="AK47" s="83"/>
      <c r="AL47" s="83"/>
      <c r="AM47" s="83"/>
      <c r="AN47" s="83"/>
      <c r="AO47" s="83"/>
      <c r="AP47" s="83"/>
      <c r="AQ47" s="83"/>
      <c r="AR47" s="83"/>
      <c r="AS47" s="83"/>
      <c r="AT47" s="83"/>
      <c r="AU47" s="83"/>
      <c r="AV47" s="83"/>
      <c r="AW47" s="83"/>
      <c r="AX47" s="83"/>
    </row>
    <row r="48" spans="1:50" x14ac:dyDescent="0.15">
      <c r="A48" s="25">
        <f t="shared" si="0"/>
        <v>43</v>
      </c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4"/>
      <c r="R48" s="84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3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3"/>
    </row>
    <row r="49" spans="1:50" x14ac:dyDescent="0.15">
      <c r="A49" s="25">
        <f t="shared" si="0"/>
        <v>44</v>
      </c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4"/>
      <c r="R49" s="84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3"/>
      <c r="AR49" s="83"/>
      <c r="AS49" s="83"/>
      <c r="AT49" s="83"/>
      <c r="AU49" s="83"/>
      <c r="AV49" s="83"/>
      <c r="AW49" s="83"/>
      <c r="AX49" s="83"/>
    </row>
    <row r="50" spans="1:50" x14ac:dyDescent="0.15">
      <c r="A50" s="25">
        <f t="shared" si="0"/>
        <v>45</v>
      </c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4"/>
      <c r="R50" s="84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3"/>
      <c r="AV50" s="83"/>
      <c r="AW50" s="83"/>
      <c r="AX50" s="83"/>
    </row>
    <row r="51" spans="1:50" x14ac:dyDescent="0.15">
      <c r="A51" s="25">
        <f t="shared" si="0"/>
        <v>46</v>
      </c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4"/>
      <c r="R51" s="84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83"/>
      <c r="AN51" s="83"/>
      <c r="AO51" s="83"/>
      <c r="AP51" s="83"/>
      <c r="AQ51" s="83"/>
      <c r="AR51" s="83"/>
      <c r="AS51" s="83"/>
      <c r="AT51" s="83"/>
      <c r="AU51" s="83"/>
      <c r="AV51" s="83"/>
      <c r="AW51" s="83"/>
      <c r="AX51" s="83"/>
    </row>
    <row r="52" spans="1:50" x14ac:dyDescent="0.15">
      <c r="A52" s="25">
        <f t="shared" si="0"/>
        <v>47</v>
      </c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4"/>
      <c r="R52" s="84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  <c r="AK52" s="83"/>
      <c r="AL52" s="83"/>
      <c r="AM52" s="83"/>
      <c r="AN52" s="83"/>
      <c r="AO52" s="83"/>
      <c r="AP52" s="83"/>
      <c r="AQ52" s="83"/>
      <c r="AR52" s="83"/>
      <c r="AS52" s="83"/>
      <c r="AT52" s="83"/>
      <c r="AU52" s="83"/>
      <c r="AV52" s="83"/>
      <c r="AW52" s="83"/>
      <c r="AX52" s="83"/>
    </row>
    <row r="53" spans="1:50" x14ac:dyDescent="0.15">
      <c r="A53" s="25">
        <f t="shared" si="0"/>
        <v>48</v>
      </c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4"/>
      <c r="R53" s="84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3"/>
      <c r="AK53" s="83"/>
      <c r="AL53" s="83"/>
      <c r="AM53" s="83"/>
      <c r="AN53" s="83"/>
      <c r="AO53" s="83"/>
      <c r="AP53" s="83"/>
      <c r="AQ53" s="83"/>
      <c r="AR53" s="83"/>
      <c r="AS53" s="83"/>
      <c r="AT53" s="83"/>
      <c r="AU53" s="83"/>
      <c r="AV53" s="83"/>
      <c r="AW53" s="83"/>
      <c r="AX53" s="83"/>
    </row>
    <row r="54" spans="1:50" x14ac:dyDescent="0.15">
      <c r="A54" s="25">
        <f t="shared" si="0"/>
        <v>49</v>
      </c>
      <c r="B54" s="83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4"/>
      <c r="R54" s="84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83"/>
      <c r="AN54" s="83"/>
      <c r="AO54" s="83"/>
      <c r="AP54" s="83"/>
      <c r="AQ54" s="83"/>
      <c r="AR54" s="83"/>
      <c r="AS54" s="83"/>
      <c r="AT54" s="83"/>
      <c r="AU54" s="83"/>
      <c r="AV54" s="83"/>
      <c r="AW54" s="83"/>
      <c r="AX54" s="83"/>
    </row>
  </sheetData>
  <mergeCells count="416">
    <mergeCell ref="AS1:AW1"/>
    <mergeCell ref="AX1:BA1"/>
    <mergeCell ref="BB1:BF1"/>
    <mergeCell ref="A2:F2"/>
    <mergeCell ref="G2:X2"/>
    <mergeCell ref="Y2:AD2"/>
    <mergeCell ref="AE2:AN2"/>
    <mergeCell ref="AO2:AR2"/>
    <mergeCell ref="AS2:AW2"/>
    <mergeCell ref="AX2:BA2"/>
    <mergeCell ref="BB2:BF2"/>
    <mergeCell ref="AJ17:AQ17"/>
    <mergeCell ref="AJ15:AQ15"/>
    <mergeCell ref="AR5:AX5"/>
    <mergeCell ref="AR6:AX6"/>
    <mergeCell ref="AR7:AX7"/>
    <mergeCell ref="AR8:AX8"/>
    <mergeCell ref="AJ12:AQ12"/>
    <mergeCell ref="AJ6:AQ6"/>
    <mergeCell ref="AJ7:AQ7"/>
    <mergeCell ref="AJ8:AQ8"/>
    <mergeCell ref="AJ13:AQ13"/>
    <mergeCell ref="AJ9:AQ9"/>
    <mergeCell ref="AJ10:AQ10"/>
    <mergeCell ref="AJ11:AQ11"/>
    <mergeCell ref="AR9:AX9"/>
    <mergeCell ref="AR10:AX10"/>
    <mergeCell ref="S6:T6"/>
    <mergeCell ref="AB7:AI7"/>
    <mergeCell ref="U7:AA7"/>
    <mergeCell ref="U8:AA8"/>
    <mergeCell ref="U9:AA9"/>
    <mergeCell ref="U10:AA10"/>
    <mergeCell ref="AB14:AI14"/>
    <mergeCell ref="AB15:AI15"/>
    <mergeCell ref="AB8:AI8"/>
    <mergeCell ref="AB9:AI9"/>
    <mergeCell ref="AB10:AI10"/>
    <mergeCell ref="AB11:AI11"/>
    <mergeCell ref="AB12:AI12"/>
    <mergeCell ref="AB13:AI13"/>
    <mergeCell ref="U11:AA11"/>
    <mergeCell ref="U12:AA12"/>
    <mergeCell ref="U13:AA13"/>
    <mergeCell ref="U6:AA6"/>
    <mergeCell ref="S7:T7"/>
    <mergeCell ref="S8:T8"/>
    <mergeCell ref="Q16:R16"/>
    <mergeCell ref="AJ18:AQ18"/>
    <mergeCell ref="AR15:AX15"/>
    <mergeCell ref="AR16:AX16"/>
    <mergeCell ref="AR14:AX14"/>
    <mergeCell ref="AJ14:AQ14"/>
    <mergeCell ref="S18:T18"/>
    <mergeCell ref="S17:T17"/>
    <mergeCell ref="AB18:AI18"/>
    <mergeCell ref="U18:AA18"/>
    <mergeCell ref="U14:AA14"/>
    <mergeCell ref="S14:T14"/>
    <mergeCell ref="S15:T15"/>
    <mergeCell ref="S16:T16"/>
    <mergeCell ref="AR17:AX17"/>
    <mergeCell ref="AR18:AX18"/>
    <mergeCell ref="U16:AA16"/>
    <mergeCell ref="U17:AA17"/>
    <mergeCell ref="Q14:R14"/>
    <mergeCell ref="Q15:R15"/>
    <mergeCell ref="B27:K27"/>
    <mergeCell ref="L27:P27"/>
    <mergeCell ref="Q27:R27"/>
    <mergeCell ref="B24:K24"/>
    <mergeCell ref="L25:P25"/>
    <mergeCell ref="Q25:R25"/>
    <mergeCell ref="Q17:R17"/>
    <mergeCell ref="B20:K20"/>
    <mergeCell ref="B22:K22"/>
    <mergeCell ref="L22:P22"/>
    <mergeCell ref="Q22:R22"/>
    <mergeCell ref="B23:K23"/>
    <mergeCell ref="B21:K21"/>
    <mergeCell ref="B17:K17"/>
    <mergeCell ref="B18:K18"/>
    <mergeCell ref="B19:K19"/>
    <mergeCell ref="L19:P19"/>
    <mergeCell ref="Q19:R19"/>
    <mergeCell ref="L21:P21"/>
    <mergeCell ref="Q21:R21"/>
    <mergeCell ref="L17:P17"/>
    <mergeCell ref="L18:P18"/>
    <mergeCell ref="Q18:R18"/>
    <mergeCell ref="AJ24:AQ24"/>
    <mergeCell ref="AR24:AX24"/>
    <mergeCell ref="B29:K29"/>
    <mergeCell ref="L29:P29"/>
    <mergeCell ref="Q29:R29"/>
    <mergeCell ref="B25:K25"/>
    <mergeCell ref="B26:K26"/>
    <mergeCell ref="S24:T24"/>
    <mergeCell ref="L24:P24"/>
    <mergeCell ref="AR25:AX25"/>
    <mergeCell ref="Q24:R24"/>
    <mergeCell ref="L26:P26"/>
    <mergeCell ref="Q26:R26"/>
    <mergeCell ref="S26:T26"/>
    <mergeCell ref="U26:AA26"/>
    <mergeCell ref="AB26:AI26"/>
    <mergeCell ref="AJ26:AQ26"/>
    <mergeCell ref="AR26:AX26"/>
    <mergeCell ref="AJ25:AQ25"/>
    <mergeCell ref="AJ27:AQ27"/>
    <mergeCell ref="AR27:AX27"/>
    <mergeCell ref="S25:T25"/>
    <mergeCell ref="U25:AA25"/>
    <mergeCell ref="AB25:AI25"/>
    <mergeCell ref="S27:T27"/>
    <mergeCell ref="U27:AA27"/>
    <mergeCell ref="AB27:AI27"/>
    <mergeCell ref="U29:AA29"/>
    <mergeCell ref="L6:P6"/>
    <mergeCell ref="L7:P7"/>
    <mergeCell ref="L8:P8"/>
    <mergeCell ref="L9:P9"/>
    <mergeCell ref="Q10:R10"/>
    <mergeCell ref="Q11:R11"/>
    <mergeCell ref="Q12:R12"/>
    <mergeCell ref="Q13:R13"/>
    <mergeCell ref="Q6:R6"/>
    <mergeCell ref="Q7:R7"/>
    <mergeCell ref="Q8:R8"/>
    <mergeCell ref="Q9:R9"/>
    <mergeCell ref="AB17:AI17"/>
    <mergeCell ref="U15:AA15"/>
    <mergeCell ref="AB29:AI29"/>
    <mergeCell ref="U24:AA24"/>
    <mergeCell ref="AB24:AI24"/>
    <mergeCell ref="AB16:AI16"/>
    <mergeCell ref="AB20:AI20"/>
    <mergeCell ref="AB6:AI6"/>
    <mergeCell ref="B12:K12"/>
    <mergeCell ref="B13:K13"/>
    <mergeCell ref="L15:P15"/>
    <mergeCell ref="L16:P16"/>
    <mergeCell ref="B6:K6"/>
    <mergeCell ref="B7:K7"/>
    <mergeCell ref="B10:K10"/>
    <mergeCell ref="B11:K11"/>
    <mergeCell ref="B8:K8"/>
    <mergeCell ref="B9:K9"/>
    <mergeCell ref="L10:P10"/>
    <mergeCell ref="L11:P11"/>
    <mergeCell ref="L12:P12"/>
    <mergeCell ref="L13:P13"/>
    <mergeCell ref="B14:K14"/>
    <mergeCell ref="L14:P14"/>
    <mergeCell ref="B15:K15"/>
    <mergeCell ref="B16:K16"/>
    <mergeCell ref="AR11:AX11"/>
    <mergeCell ref="AR12:AX12"/>
    <mergeCell ref="AR13:AX13"/>
    <mergeCell ref="AJ16:AQ16"/>
    <mergeCell ref="S13:T13"/>
    <mergeCell ref="S10:T10"/>
    <mergeCell ref="S11:T11"/>
    <mergeCell ref="S9:T9"/>
    <mergeCell ref="S12:T12"/>
    <mergeCell ref="S21:T21"/>
    <mergeCell ref="U21:AA21"/>
    <mergeCell ref="AR19:AX19"/>
    <mergeCell ref="L20:P20"/>
    <mergeCell ref="Q20:R20"/>
    <mergeCell ref="S20:T20"/>
    <mergeCell ref="U20:AA20"/>
    <mergeCell ref="AB21:AI21"/>
    <mergeCell ref="AJ21:AQ21"/>
    <mergeCell ref="AR21:AX21"/>
    <mergeCell ref="AJ20:AQ20"/>
    <mergeCell ref="AR20:AX20"/>
    <mergeCell ref="S19:T19"/>
    <mergeCell ref="U19:AA19"/>
    <mergeCell ref="AB19:AI19"/>
    <mergeCell ref="AJ19:AQ19"/>
    <mergeCell ref="U22:AA22"/>
    <mergeCell ref="AR22:AX22"/>
    <mergeCell ref="U23:AA23"/>
    <mergeCell ref="AB23:AI23"/>
    <mergeCell ref="AJ23:AQ23"/>
    <mergeCell ref="AR23:AX23"/>
    <mergeCell ref="L23:P23"/>
    <mergeCell ref="Q23:R23"/>
    <mergeCell ref="S23:T23"/>
    <mergeCell ref="AB22:AI22"/>
    <mergeCell ref="AJ22:AQ22"/>
    <mergeCell ref="S22:T22"/>
    <mergeCell ref="B28:K28"/>
    <mergeCell ref="L28:P28"/>
    <mergeCell ref="Q28:R28"/>
    <mergeCell ref="S28:T28"/>
    <mergeCell ref="U28:AA28"/>
    <mergeCell ref="AB28:AI28"/>
    <mergeCell ref="AJ28:AQ28"/>
    <mergeCell ref="AR28:AX28"/>
    <mergeCell ref="AJ29:AQ29"/>
    <mergeCell ref="AR29:AX29"/>
    <mergeCell ref="S29:T29"/>
    <mergeCell ref="B30:K30"/>
    <mergeCell ref="L30:P30"/>
    <mergeCell ref="Q30:R30"/>
    <mergeCell ref="S30:T30"/>
    <mergeCell ref="U30:AA30"/>
    <mergeCell ref="AB30:AI30"/>
    <mergeCell ref="AJ30:AQ30"/>
    <mergeCell ref="AR30:AX30"/>
    <mergeCell ref="U31:AA31"/>
    <mergeCell ref="AB31:AI31"/>
    <mergeCell ref="AJ31:AQ31"/>
    <mergeCell ref="AR31:AX31"/>
    <mergeCell ref="B31:K31"/>
    <mergeCell ref="L31:P31"/>
    <mergeCell ref="Q31:R31"/>
    <mergeCell ref="S31:T31"/>
    <mergeCell ref="U32:AA32"/>
    <mergeCell ref="AB32:AI32"/>
    <mergeCell ref="AJ32:AQ32"/>
    <mergeCell ref="AR32:AX32"/>
    <mergeCell ref="B32:K32"/>
    <mergeCell ref="L32:P32"/>
    <mergeCell ref="Q32:R32"/>
    <mergeCell ref="S32:T32"/>
    <mergeCell ref="U33:AA33"/>
    <mergeCell ref="AB33:AI33"/>
    <mergeCell ref="AJ33:AQ33"/>
    <mergeCell ref="AR33:AX33"/>
    <mergeCell ref="B33:K33"/>
    <mergeCell ref="L33:P33"/>
    <mergeCell ref="Q33:R33"/>
    <mergeCell ref="S33:T33"/>
    <mergeCell ref="U34:AA34"/>
    <mergeCell ref="AB34:AI34"/>
    <mergeCell ref="AJ34:AQ34"/>
    <mergeCell ref="AR34:AX34"/>
    <mergeCell ref="B34:K34"/>
    <mergeCell ref="L34:P34"/>
    <mergeCell ref="Q34:R34"/>
    <mergeCell ref="S34:T34"/>
    <mergeCell ref="U35:AA35"/>
    <mergeCell ref="AB35:AI35"/>
    <mergeCell ref="AJ35:AQ35"/>
    <mergeCell ref="AR35:AX35"/>
    <mergeCell ref="B35:K35"/>
    <mergeCell ref="L35:P35"/>
    <mergeCell ref="Q35:R35"/>
    <mergeCell ref="S35:T35"/>
    <mergeCell ref="U36:AA36"/>
    <mergeCell ref="AB36:AI36"/>
    <mergeCell ref="AJ36:AQ36"/>
    <mergeCell ref="AR36:AX36"/>
    <mergeCell ref="B36:K36"/>
    <mergeCell ref="L36:P36"/>
    <mergeCell ref="Q36:R36"/>
    <mergeCell ref="S36:T36"/>
    <mergeCell ref="U37:AA37"/>
    <mergeCell ref="AB37:AI37"/>
    <mergeCell ref="AJ37:AQ37"/>
    <mergeCell ref="AR37:AX37"/>
    <mergeCell ref="B37:K37"/>
    <mergeCell ref="L37:P37"/>
    <mergeCell ref="Q37:R37"/>
    <mergeCell ref="S37:T37"/>
    <mergeCell ref="U38:AA38"/>
    <mergeCell ref="AB38:AI38"/>
    <mergeCell ref="AJ38:AQ38"/>
    <mergeCell ref="AR38:AX38"/>
    <mergeCell ref="B38:K38"/>
    <mergeCell ref="L38:P38"/>
    <mergeCell ref="Q38:R38"/>
    <mergeCell ref="S38:T38"/>
    <mergeCell ref="U39:AA39"/>
    <mergeCell ref="AB39:AI39"/>
    <mergeCell ref="AJ39:AQ39"/>
    <mergeCell ref="AR39:AX39"/>
    <mergeCell ref="B39:K39"/>
    <mergeCell ref="L39:P39"/>
    <mergeCell ref="Q39:R39"/>
    <mergeCell ref="S39:T39"/>
    <mergeCell ref="U40:AA40"/>
    <mergeCell ref="AB40:AI40"/>
    <mergeCell ref="AJ40:AQ40"/>
    <mergeCell ref="AR40:AX40"/>
    <mergeCell ref="B40:K40"/>
    <mergeCell ref="L40:P40"/>
    <mergeCell ref="Q40:R40"/>
    <mergeCell ref="S40:T40"/>
    <mergeCell ref="U41:AA41"/>
    <mergeCell ref="AB41:AI41"/>
    <mergeCell ref="AJ41:AQ41"/>
    <mergeCell ref="AR41:AX41"/>
    <mergeCell ref="B41:K41"/>
    <mergeCell ref="L41:P41"/>
    <mergeCell ref="Q41:R41"/>
    <mergeCell ref="S41:T41"/>
    <mergeCell ref="U42:AA42"/>
    <mergeCell ref="AB42:AI42"/>
    <mergeCell ref="AJ42:AQ42"/>
    <mergeCell ref="AR42:AX42"/>
    <mergeCell ref="B42:K42"/>
    <mergeCell ref="L42:P42"/>
    <mergeCell ref="Q42:R42"/>
    <mergeCell ref="S42:T42"/>
    <mergeCell ref="U43:AA43"/>
    <mergeCell ref="AB43:AI43"/>
    <mergeCell ref="AJ43:AQ43"/>
    <mergeCell ref="AR43:AX43"/>
    <mergeCell ref="B43:K43"/>
    <mergeCell ref="L43:P43"/>
    <mergeCell ref="Q43:R43"/>
    <mergeCell ref="S43:T43"/>
    <mergeCell ref="U44:AA44"/>
    <mergeCell ref="AB44:AI44"/>
    <mergeCell ref="AJ44:AQ44"/>
    <mergeCell ref="AR44:AX44"/>
    <mergeCell ref="B44:K44"/>
    <mergeCell ref="L44:P44"/>
    <mergeCell ref="Q44:R44"/>
    <mergeCell ref="S44:T44"/>
    <mergeCell ref="U45:AA45"/>
    <mergeCell ref="AB45:AI45"/>
    <mergeCell ref="AJ45:AQ45"/>
    <mergeCell ref="AR45:AX45"/>
    <mergeCell ref="B45:K45"/>
    <mergeCell ref="L45:P45"/>
    <mergeCell ref="Q45:R45"/>
    <mergeCell ref="S45:T45"/>
    <mergeCell ref="U46:AA46"/>
    <mergeCell ref="AB46:AI46"/>
    <mergeCell ref="AJ46:AQ46"/>
    <mergeCell ref="AR46:AX46"/>
    <mergeCell ref="B46:K46"/>
    <mergeCell ref="L46:P46"/>
    <mergeCell ref="Q46:R46"/>
    <mergeCell ref="S46:T46"/>
    <mergeCell ref="U47:AA47"/>
    <mergeCell ref="AB47:AI47"/>
    <mergeCell ref="AJ47:AQ47"/>
    <mergeCell ref="AR47:AX47"/>
    <mergeCell ref="B47:K47"/>
    <mergeCell ref="L47:P47"/>
    <mergeCell ref="Q47:R47"/>
    <mergeCell ref="S47:T47"/>
    <mergeCell ref="U48:AA48"/>
    <mergeCell ref="AB48:AI48"/>
    <mergeCell ref="AJ48:AQ48"/>
    <mergeCell ref="AR48:AX48"/>
    <mergeCell ref="B48:K48"/>
    <mergeCell ref="L48:P48"/>
    <mergeCell ref="Q48:R48"/>
    <mergeCell ref="S48:T48"/>
    <mergeCell ref="U49:AA49"/>
    <mergeCell ref="AB49:AI49"/>
    <mergeCell ref="AJ49:AQ49"/>
    <mergeCell ref="AR49:AX49"/>
    <mergeCell ref="B49:K49"/>
    <mergeCell ref="L49:P49"/>
    <mergeCell ref="Q49:R49"/>
    <mergeCell ref="S49:T49"/>
    <mergeCell ref="U50:AA50"/>
    <mergeCell ref="AB50:AI50"/>
    <mergeCell ref="AJ50:AQ50"/>
    <mergeCell ref="AR50:AX50"/>
    <mergeCell ref="B50:K50"/>
    <mergeCell ref="L50:P50"/>
    <mergeCell ref="Q50:R50"/>
    <mergeCell ref="S50:T50"/>
    <mergeCell ref="U51:AA51"/>
    <mergeCell ref="AB51:AI51"/>
    <mergeCell ref="AJ51:AQ51"/>
    <mergeCell ref="AR51:AX51"/>
    <mergeCell ref="B51:K51"/>
    <mergeCell ref="L51:P51"/>
    <mergeCell ref="Q51:R51"/>
    <mergeCell ref="S51:T51"/>
    <mergeCell ref="U54:AA54"/>
    <mergeCell ref="AB54:AI54"/>
    <mergeCell ref="AJ54:AQ54"/>
    <mergeCell ref="AR54:AX54"/>
    <mergeCell ref="B54:K54"/>
    <mergeCell ref="L54:P54"/>
    <mergeCell ref="Q54:R54"/>
    <mergeCell ref="S54:T54"/>
    <mergeCell ref="U52:AA52"/>
    <mergeCell ref="AB52:AI52"/>
    <mergeCell ref="AJ52:AQ52"/>
    <mergeCell ref="AR52:AX52"/>
    <mergeCell ref="B52:K52"/>
    <mergeCell ref="L52:P52"/>
    <mergeCell ref="Q52:R52"/>
    <mergeCell ref="S52:T52"/>
    <mergeCell ref="U53:AA53"/>
    <mergeCell ref="AB53:AI53"/>
    <mergeCell ref="AJ53:AQ53"/>
    <mergeCell ref="AR53:AX53"/>
    <mergeCell ref="B53:K53"/>
    <mergeCell ref="L53:P53"/>
    <mergeCell ref="Q53:R53"/>
    <mergeCell ref="S53:T53"/>
    <mergeCell ref="L5:P5"/>
    <mergeCell ref="AB5:AI5"/>
    <mergeCell ref="AJ5:AQ5"/>
    <mergeCell ref="Q5:R5"/>
    <mergeCell ref="U5:AA5"/>
    <mergeCell ref="S5:T5"/>
    <mergeCell ref="B5:K5"/>
    <mergeCell ref="A1:F1"/>
    <mergeCell ref="G1:X1"/>
    <mergeCell ref="Y1:AD1"/>
    <mergeCell ref="AE1:AN1"/>
    <mergeCell ref="AO1:AR1"/>
  </mergeCells>
  <phoneticPr fontId="1"/>
  <pageMargins left="0.59055118110236227" right="0.39370078740157483" top="0.59055118110236227" bottom="0.59055118110236227" header="0.39370078740157483" footer="0.39370078740157483"/>
  <pageSetup paperSize="9" scale="95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F52"/>
  <sheetViews>
    <sheetView workbookViewId="0">
      <pane ySplit="3" topLeftCell="A4" activePane="bottomLeft" state="frozen"/>
      <selection activeCell="X21" sqref="X21:BE21"/>
      <selection pane="bottomLeft" sqref="A1:F1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48" t="s">
        <v>28</v>
      </c>
      <c r="B1" s="48"/>
      <c r="C1" s="48"/>
      <c r="D1" s="48"/>
      <c r="E1" s="48"/>
      <c r="F1" s="48"/>
      <c r="G1" s="49" t="str">
        <f ca="1">IF(ISBLANK([1]改訂履歴!G1),"",([1]改訂履歴!G1))</f>
        <v>DOC00002_詳細設計書_MIPG00002_計算アプリ_IOS</v>
      </c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8" t="s">
        <v>29</v>
      </c>
      <c r="Z1" s="48"/>
      <c r="AA1" s="48"/>
      <c r="AB1" s="48"/>
      <c r="AC1" s="48"/>
      <c r="AD1" s="48"/>
      <c r="AE1" s="49" t="str">
        <f ca="1">IF(ISBLANK([1]改訂履歴!$AE$1),"",([1]改訂履歴!$AE$1))</f>
        <v>DOC00002</v>
      </c>
      <c r="AF1" s="49"/>
      <c r="AG1" s="49"/>
      <c r="AH1" s="49"/>
      <c r="AI1" s="49"/>
      <c r="AJ1" s="49"/>
      <c r="AK1" s="49"/>
      <c r="AL1" s="49"/>
      <c r="AM1" s="49"/>
      <c r="AN1" s="49"/>
      <c r="AO1" s="48" t="s">
        <v>31</v>
      </c>
      <c r="AP1" s="48"/>
      <c r="AQ1" s="48"/>
      <c r="AR1" s="48"/>
      <c r="AS1" s="50" t="str">
        <f>IF(ISBLANK([1]改訂履歴!AS1),"",([1]改訂履歴!AS1))</f>
        <v>第2版</v>
      </c>
      <c r="AT1" s="51"/>
      <c r="AU1" s="51"/>
      <c r="AV1" s="51"/>
      <c r="AW1" s="52"/>
      <c r="AX1" s="48" t="s">
        <v>33</v>
      </c>
      <c r="AY1" s="48"/>
      <c r="AZ1" s="48"/>
      <c r="BA1" s="48"/>
      <c r="BB1" s="59" t="str">
        <f ca="1">IF(ISBLANK([1]改訂履歴!BB1),"",([1]改訂履歴!BB1))</f>
        <v>水谷</v>
      </c>
      <c r="BC1" s="60"/>
      <c r="BD1" s="60"/>
      <c r="BE1" s="60"/>
      <c r="BF1" s="61"/>
    </row>
    <row r="2" spans="1:58" x14ac:dyDescent="0.15">
      <c r="A2" s="48" t="s">
        <v>0</v>
      </c>
      <c r="B2" s="48"/>
      <c r="C2" s="48"/>
      <c r="D2" s="48"/>
      <c r="E2" s="48"/>
      <c r="F2" s="48"/>
      <c r="G2" s="49" t="str">
        <f ca="1">IF(ISBLANK([1]改訂履歴!G2),"",([1]改訂履歴!G2))</f>
        <v>計算アプリ_IOS</v>
      </c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8" t="s">
        <v>4</v>
      </c>
      <c r="Z2" s="48"/>
      <c r="AA2" s="48"/>
      <c r="AB2" s="48"/>
      <c r="AC2" s="48"/>
      <c r="AD2" s="48"/>
      <c r="AE2" s="49" t="str">
        <f ca="1">IF(ISBLANK([1]改訂履歴!$AE$2),"",([1]改訂履歴!$AE$2))</f>
        <v>MIPG00002</v>
      </c>
      <c r="AF2" s="49"/>
      <c r="AG2" s="49"/>
      <c r="AH2" s="49"/>
      <c r="AI2" s="49"/>
      <c r="AJ2" s="49"/>
      <c r="AK2" s="49"/>
      <c r="AL2" s="49"/>
      <c r="AM2" s="49"/>
      <c r="AN2" s="49"/>
      <c r="AO2" s="48" t="s">
        <v>32</v>
      </c>
      <c r="AP2" s="48"/>
      <c r="AQ2" s="48"/>
      <c r="AR2" s="48"/>
      <c r="AS2" s="56">
        <f>IF(ISBLANK([1]改訂履歴!AS2),"",([1]改訂履歴!AS2))</f>
        <v>44853</v>
      </c>
      <c r="AT2" s="57"/>
      <c r="AU2" s="57"/>
      <c r="AV2" s="57"/>
      <c r="AW2" s="58"/>
      <c r="AX2" s="48" t="s">
        <v>34</v>
      </c>
      <c r="AY2" s="48"/>
      <c r="AZ2" s="48"/>
      <c r="BA2" s="48"/>
      <c r="BB2" s="56">
        <f ca="1">IF(ISBLANK([1]改訂履歴!BB2),"",([1]改訂履歴!BB2))</f>
        <v>44870</v>
      </c>
      <c r="BC2" s="57"/>
      <c r="BD2" s="57"/>
      <c r="BE2" s="57"/>
      <c r="BF2" s="58"/>
    </row>
    <row r="3" spans="1:58" x14ac:dyDescent="0.15">
      <c r="B3" s="2"/>
    </row>
    <row r="4" spans="1:58" x14ac:dyDescent="0.15">
      <c r="A4" s="3" t="s">
        <v>23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5"/>
    </row>
    <row r="5" spans="1:58" x14ac:dyDescent="0.15">
      <c r="A5" s="8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10"/>
    </row>
    <row r="6" spans="1:58" x14ac:dyDescent="0.15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3"/>
    </row>
    <row r="7" spans="1:58" x14ac:dyDescent="0.15">
      <c r="A7" s="11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3"/>
    </row>
    <row r="8" spans="1:58" x14ac:dyDescent="0.15">
      <c r="A8" s="3" t="s">
        <v>26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5"/>
    </row>
    <row r="9" spans="1:58" x14ac:dyDescent="0.15">
      <c r="A9" s="8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10"/>
    </row>
    <row r="10" spans="1:58" x14ac:dyDescent="0.15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3"/>
    </row>
    <row r="11" spans="1:58" x14ac:dyDescent="0.15">
      <c r="A11" s="11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3"/>
    </row>
    <row r="12" spans="1:58" x14ac:dyDescent="0.15">
      <c r="A12" s="3" t="s">
        <v>26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5"/>
    </row>
    <row r="13" spans="1:58" x14ac:dyDescent="0.15">
      <c r="A13" s="8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10"/>
    </row>
    <row r="14" spans="1:58" x14ac:dyDescent="0.1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3"/>
    </row>
    <row r="15" spans="1:58" x14ac:dyDescent="0.15">
      <c r="A15" s="11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3"/>
    </row>
    <row r="16" spans="1:58" x14ac:dyDescent="0.1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39"/>
    </row>
    <row r="17" spans="1:50" x14ac:dyDescent="0.15">
      <c r="A17" s="20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39"/>
    </row>
    <row r="18" spans="1:50" x14ac:dyDescent="0.15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39"/>
    </row>
    <row r="19" spans="1:50" x14ac:dyDescent="0.15">
      <c r="A19" s="20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39"/>
    </row>
    <row r="20" spans="1:50" x14ac:dyDescent="0.15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39"/>
    </row>
    <row r="21" spans="1:50" x14ac:dyDescent="0.15">
      <c r="A21" s="20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39"/>
    </row>
    <row r="22" spans="1:50" x14ac:dyDescent="0.15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39"/>
    </row>
    <row r="23" spans="1:50" x14ac:dyDescent="0.15">
      <c r="A23" s="20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39"/>
    </row>
    <row r="24" spans="1:50" x14ac:dyDescent="0.1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39"/>
    </row>
    <row r="25" spans="1:50" x14ac:dyDescent="0.15">
      <c r="A25" s="20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39"/>
    </row>
    <row r="26" spans="1:50" x14ac:dyDescent="0.15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39"/>
    </row>
    <row r="27" spans="1:50" x14ac:dyDescent="0.15">
      <c r="A27" s="20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39"/>
    </row>
    <row r="28" spans="1:50" x14ac:dyDescent="0.15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39"/>
    </row>
    <row r="29" spans="1:50" x14ac:dyDescent="0.15">
      <c r="A29" s="20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39"/>
    </row>
    <row r="30" spans="1:50" x14ac:dyDescent="0.1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39"/>
    </row>
    <row r="31" spans="1:50" x14ac:dyDescent="0.15">
      <c r="A31" s="2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39"/>
    </row>
    <row r="32" spans="1:50" x14ac:dyDescent="0.15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39"/>
    </row>
    <row r="33" spans="1:50" x14ac:dyDescent="0.15">
      <c r="A33" s="20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39"/>
    </row>
    <row r="34" spans="1:50" x14ac:dyDescent="0.15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39"/>
    </row>
    <row r="35" spans="1:50" x14ac:dyDescent="0.15">
      <c r="A35" s="20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39"/>
    </row>
    <row r="36" spans="1:50" x14ac:dyDescent="0.15">
      <c r="A36" s="20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39"/>
    </row>
    <row r="37" spans="1:50" x14ac:dyDescent="0.15">
      <c r="A37" s="20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39"/>
    </row>
    <row r="38" spans="1:50" x14ac:dyDescent="0.15">
      <c r="A38" s="20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39"/>
    </row>
    <row r="39" spans="1:50" x14ac:dyDescent="0.15">
      <c r="A39" s="20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39"/>
    </row>
    <row r="40" spans="1:50" x14ac:dyDescent="0.15">
      <c r="A40" s="20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39"/>
    </row>
    <row r="41" spans="1:50" x14ac:dyDescent="0.15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39"/>
    </row>
    <row r="42" spans="1:50" x14ac:dyDescent="0.15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39"/>
    </row>
    <row r="43" spans="1:50" x14ac:dyDescent="0.15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39"/>
    </row>
    <row r="44" spans="1:50" x14ac:dyDescent="0.15">
      <c r="A44" s="20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39"/>
    </row>
    <row r="45" spans="1:50" x14ac:dyDescent="0.15">
      <c r="A45" s="20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39"/>
    </row>
    <row r="46" spans="1:50" x14ac:dyDescent="0.15">
      <c r="A46" s="2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39"/>
    </row>
    <row r="47" spans="1:50" x14ac:dyDescent="0.15">
      <c r="A47" s="20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39"/>
    </row>
    <row r="48" spans="1:50" x14ac:dyDescent="0.15">
      <c r="A48" s="20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39"/>
    </row>
    <row r="49" spans="1:50" x14ac:dyDescent="0.15">
      <c r="A49" s="20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39"/>
    </row>
    <row r="50" spans="1:50" x14ac:dyDescent="0.15">
      <c r="A50" s="20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39"/>
    </row>
    <row r="51" spans="1:50" x14ac:dyDescent="0.15">
      <c r="A51" s="20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39"/>
    </row>
    <row r="52" spans="1:50" x14ac:dyDescent="0.15">
      <c r="A52" s="22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40"/>
    </row>
  </sheetData>
  <mergeCells count="16">
    <mergeCell ref="Y2:AD2"/>
    <mergeCell ref="AE2:AN2"/>
    <mergeCell ref="AO2:AR2"/>
    <mergeCell ref="AS2:AW2"/>
    <mergeCell ref="AX2:BA2"/>
    <mergeCell ref="AO1:AR1"/>
    <mergeCell ref="AS1:AW1"/>
    <mergeCell ref="AX1:BA1"/>
    <mergeCell ref="BB1:BF1"/>
    <mergeCell ref="BB2:BF2"/>
    <mergeCell ref="A1:F1"/>
    <mergeCell ref="G1:X1"/>
    <mergeCell ref="Y1:AD1"/>
    <mergeCell ref="AE1:AN1"/>
    <mergeCell ref="A2:F2"/>
    <mergeCell ref="G2:X2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F52"/>
  <sheetViews>
    <sheetView zoomScaleNormal="100" workbookViewId="0">
      <pane ySplit="3" topLeftCell="A4" activePane="bottomLeft" state="frozen"/>
      <selection activeCell="X21" sqref="X21:BE21"/>
      <selection pane="bottomLeft" activeCell="AX41" sqref="AX41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48" t="s">
        <v>28</v>
      </c>
      <c r="B1" s="48"/>
      <c r="C1" s="48"/>
      <c r="D1" s="48"/>
      <c r="E1" s="48"/>
      <c r="F1" s="48"/>
      <c r="G1" s="49" t="str">
        <f ca="1">IF(ISBLANK([1]改訂履歴!G1),"",([1]改訂履歴!G1))</f>
        <v>DOC00002_詳細設計書_MIPG00002_計算アプリ_IOS</v>
      </c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8" t="s">
        <v>29</v>
      </c>
      <c r="Z1" s="48"/>
      <c r="AA1" s="48"/>
      <c r="AB1" s="48"/>
      <c r="AC1" s="48"/>
      <c r="AD1" s="48"/>
      <c r="AE1" s="49" t="str">
        <f ca="1">IF(ISBLANK([1]改訂履歴!$AE$1),"",([1]改訂履歴!$AE$1))</f>
        <v>DOC00002</v>
      </c>
      <c r="AF1" s="49"/>
      <c r="AG1" s="49"/>
      <c r="AH1" s="49"/>
      <c r="AI1" s="49"/>
      <c r="AJ1" s="49"/>
      <c r="AK1" s="49"/>
      <c r="AL1" s="49"/>
      <c r="AM1" s="49"/>
      <c r="AN1" s="49"/>
      <c r="AO1" s="48" t="s">
        <v>31</v>
      </c>
      <c r="AP1" s="48"/>
      <c r="AQ1" s="48"/>
      <c r="AR1" s="48"/>
      <c r="AS1" s="50" t="str">
        <f>IF(ISBLANK([1]改訂履歴!AS1),"",([1]改訂履歴!AS1))</f>
        <v>第2版</v>
      </c>
      <c r="AT1" s="51"/>
      <c r="AU1" s="51"/>
      <c r="AV1" s="51"/>
      <c r="AW1" s="52"/>
      <c r="AX1" s="48" t="s">
        <v>33</v>
      </c>
      <c r="AY1" s="48"/>
      <c r="AZ1" s="48"/>
      <c r="BA1" s="48"/>
      <c r="BB1" s="59" t="str">
        <f ca="1">IF(ISBLANK([1]改訂履歴!BB1),"",([1]改訂履歴!BB1))</f>
        <v>水谷</v>
      </c>
      <c r="BC1" s="60"/>
      <c r="BD1" s="60"/>
      <c r="BE1" s="60"/>
      <c r="BF1" s="61"/>
    </row>
    <row r="2" spans="1:58" x14ac:dyDescent="0.15">
      <c r="A2" s="48" t="s">
        <v>0</v>
      </c>
      <c r="B2" s="48"/>
      <c r="C2" s="48"/>
      <c r="D2" s="48"/>
      <c r="E2" s="48"/>
      <c r="F2" s="48"/>
      <c r="G2" s="49" t="str">
        <f ca="1">IF(ISBLANK([1]改訂履歴!G2),"",([1]改訂履歴!G2))</f>
        <v>計算アプリ_IOS</v>
      </c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8" t="s">
        <v>4</v>
      </c>
      <c r="Z2" s="48"/>
      <c r="AA2" s="48"/>
      <c r="AB2" s="48"/>
      <c r="AC2" s="48"/>
      <c r="AD2" s="48"/>
      <c r="AE2" s="49" t="str">
        <f ca="1">IF(ISBLANK([1]改訂履歴!$AE$2),"",([1]改訂履歴!$AE$2))</f>
        <v>MIPG00002</v>
      </c>
      <c r="AF2" s="49"/>
      <c r="AG2" s="49"/>
      <c r="AH2" s="49"/>
      <c r="AI2" s="49"/>
      <c r="AJ2" s="49"/>
      <c r="AK2" s="49"/>
      <c r="AL2" s="49"/>
      <c r="AM2" s="49"/>
      <c r="AN2" s="49"/>
      <c r="AO2" s="48" t="s">
        <v>32</v>
      </c>
      <c r="AP2" s="48"/>
      <c r="AQ2" s="48"/>
      <c r="AR2" s="48"/>
      <c r="AS2" s="56">
        <f>IF(ISBLANK([1]改訂履歴!AS2),"",([1]改訂履歴!AS2))</f>
        <v>44853</v>
      </c>
      <c r="AT2" s="57"/>
      <c r="AU2" s="57"/>
      <c r="AV2" s="57"/>
      <c r="AW2" s="58"/>
      <c r="AX2" s="48" t="s">
        <v>34</v>
      </c>
      <c r="AY2" s="48"/>
      <c r="AZ2" s="48"/>
      <c r="BA2" s="48"/>
      <c r="BB2" s="56">
        <f ca="1">IF(ISBLANK([1]改訂履歴!BB2),"",([1]改訂履歴!BB2))</f>
        <v>44870</v>
      </c>
      <c r="BC2" s="57"/>
      <c r="BD2" s="57"/>
      <c r="BE2" s="57"/>
      <c r="BF2" s="58"/>
    </row>
    <row r="3" spans="1:58" x14ac:dyDescent="0.15">
      <c r="B3" s="2"/>
    </row>
    <row r="4" spans="1:58" x14ac:dyDescent="0.15">
      <c r="A4" s="3" t="s">
        <v>27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5"/>
    </row>
    <row r="5" spans="1:58" x14ac:dyDescent="0.15">
      <c r="A5" s="3" t="s">
        <v>20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7"/>
    </row>
    <row r="6" spans="1:58" x14ac:dyDescent="0.15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10"/>
    </row>
    <row r="7" spans="1:58" x14ac:dyDescent="0.15">
      <c r="A7" s="11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3"/>
    </row>
    <row r="8" spans="1:58" x14ac:dyDescent="0.15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3"/>
    </row>
    <row r="9" spans="1:58" x14ac:dyDescent="0.15">
      <c r="A9" s="11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3"/>
    </row>
    <row r="10" spans="1:58" x14ac:dyDescent="0.15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3"/>
    </row>
    <row r="11" spans="1:58" x14ac:dyDescent="0.15">
      <c r="A11" s="11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3"/>
    </row>
    <row r="12" spans="1:58" x14ac:dyDescent="0.1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3"/>
    </row>
    <row r="13" spans="1:58" x14ac:dyDescent="0.15">
      <c r="A13" s="11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3"/>
    </row>
    <row r="14" spans="1:58" x14ac:dyDescent="0.1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3"/>
    </row>
    <row r="15" spans="1:58" x14ac:dyDescent="0.15">
      <c r="A15" s="14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6"/>
    </row>
    <row r="16" spans="1:58" x14ac:dyDescent="0.15">
      <c r="A16" s="17" t="s">
        <v>21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9"/>
    </row>
    <row r="17" spans="1:50" x14ac:dyDescent="0.15">
      <c r="A17" s="8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10"/>
    </row>
    <row r="18" spans="1:50" x14ac:dyDescent="0.1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3"/>
    </row>
    <row r="19" spans="1:50" x14ac:dyDescent="0.15">
      <c r="A19" s="11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3"/>
    </row>
    <row r="20" spans="1:50" x14ac:dyDescent="0.15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3"/>
    </row>
    <row r="21" spans="1:50" x14ac:dyDescent="0.15">
      <c r="A21" s="11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3"/>
    </row>
    <row r="22" spans="1:50" x14ac:dyDescent="0.15">
      <c r="A22" s="11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3"/>
    </row>
    <row r="23" spans="1:50" x14ac:dyDescent="0.15">
      <c r="A23" s="11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3"/>
    </row>
    <row r="24" spans="1:50" x14ac:dyDescent="0.15">
      <c r="A24" s="1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3"/>
    </row>
    <row r="25" spans="1:50" x14ac:dyDescent="0.15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3"/>
    </row>
    <row r="26" spans="1:50" x14ac:dyDescent="0.15">
      <c r="A26" s="14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6"/>
    </row>
    <row r="27" spans="1:50" x14ac:dyDescent="0.15">
      <c r="A27" s="17" t="s">
        <v>22</v>
      </c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9"/>
    </row>
    <row r="28" spans="1:50" x14ac:dyDescent="0.15">
      <c r="A28" s="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10"/>
    </row>
    <row r="29" spans="1:50" x14ac:dyDescent="0.15">
      <c r="A29" s="11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3"/>
    </row>
    <row r="30" spans="1:50" x14ac:dyDescent="0.15">
      <c r="A30" s="11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3"/>
    </row>
    <row r="31" spans="1:50" x14ac:dyDescent="0.15">
      <c r="A31" s="11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3"/>
    </row>
    <row r="32" spans="1:50" x14ac:dyDescent="0.15">
      <c r="A32" s="11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3"/>
    </row>
    <row r="33" spans="1:50" x14ac:dyDescent="0.15">
      <c r="A33" s="11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3"/>
    </row>
    <row r="34" spans="1:50" x14ac:dyDescent="0.15">
      <c r="A34" s="11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3"/>
    </row>
    <row r="35" spans="1:50" x14ac:dyDescent="0.15">
      <c r="A35" s="11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3"/>
    </row>
    <row r="36" spans="1:50" x14ac:dyDescent="0.15">
      <c r="A36" s="11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3"/>
    </row>
    <row r="37" spans="1:50" x14ac:dyDescent="0.15">
      <c r="A37" s="1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3"/>
    </row>
    <row r="38" spans="1:50" x14ac:dyDescent="0.15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3"/>
    </row>
    <row r="39" spans="1:50" x14ac:dyDescent="0.15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3"/>
    </row>
    <row r="40" spans="1:50" x14ac:dyDescent="0.15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3"/>
    </row>
    <row r="41" spans="1:50" x14ac:dyDescent="0.15">
      <c r="A41" s="1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3"/>
    </row>
    <row r="42" spans="1:50" x14ac:dyDescent="0.15">
      <c r="A42" s="1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3"/>
    </row>
    <row r="43" spans="1:50" x14ac:dyDescent="0.1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3"/>
    </row>
    <row r="44" spans="1:50" x14ac:dyDescent="0.15">
      <c r="A44" s="1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3"/>
    </row>
    <row r="45" spans="1:50" x14ac:dyDescent="0.15">
      <c r="A45" s="1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3"/>
    </row>
    <row r="46" spans="1:50" x14ac:dyDescent="0.15">
      <c r="A46" s="1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3"/>
    </row>
    <row r="47" spans="1:50" x14ac:dyDescent="0.15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3"/>
    </row>
    <row r="48" spans="1:50" x14ac:dyDescent="0.15">
      <c r="A48" s="1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3"/>
    </row>
    <row r="49" spans="1:50" x14ac:dyDescent="0.15">
      <c r="A49" s="1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3"/>
    </row>
    <row r="50" spans="1:50" x14ac:dyDescent="0.15">
      <c r="A50" s="1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3"/>
    </row>
    <row r="51" spans="1:50" x14ac:dyDescent="0.15">
      <c r="A51" s="11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3"/>
    </row>
    <row r="52" spans="1:50" x14ac:dyDescent="0.15">
      <c r="A52" s="14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6"/>
    </row>
  </sheetData>
  <mergeCells count="16">
    <mergeCell ref="Y2:AD2"/>
    <mergeCell ref="AE2:AN2"/>
    <mergeCell ref="AO2:AR2"/>
    <mergeCell ref="AS2:AW2"/>
    <mergeCell ref="AX2:BA2"/>
    <mergeCell ref="AO1:AR1"/>
    <mergeCell ref="AS1:AW1"/>
    <mergeCell ref="AX1:BA1"/>
    <mergeCell ref="BB1:BF1"/>
    <mergeCell ref="BB2:BF2"/>
    <mergeCell ref="A1:F1"/>
    <mergeCell ref="G1:X1"/>
    <mergeCell ref="Y1:AD1"/>
    <mergeCell ref="AE1:AN1"/>
    <mergeCell ref="A2:F2"/>
    <mergeCell ref="G2:X2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改訂履歴</vt:lpstr>
      <vt:lpstr>画面イメージ</vt:lpstr>
      <vt:lpstr>IO関連</vt:lpstr>
      <vt:lpstr>画面項目</vt:lpstr>
      <vt:lpstr>イベント処理</vt:lpstr>
      <vt:lpstr>DB処理</vt:lpstr>
    </vt:vector>
  </TitlesOfParts>
  <Manager>サンプル管理部</Manager>
  <Company>株式会社サンプル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詳細設計書</dc:title>
  <dc:subject>設計書</dc:subject>
  <dc:creator>サンプル開発部</dc:creator>
  <dc:description>version1.0</dc:description>
  <cp:lastModifiedBy>水谷 友哉</cp:lastModifiedBy>
  <cp:lastPrinted>2022-10-19T01:48:49Z</cp:lastPrinted>
  <dcterms:created xsi:type="dcterms:W3CDTF">2002-02-23T02:02:23Z</dcterms:created>
  <dcterms:modified xsi:type="dcterms:W3CDTF">2022-11-05T13:13:13Z</dcterms:modified>
</cp:coreProperties>
</file>