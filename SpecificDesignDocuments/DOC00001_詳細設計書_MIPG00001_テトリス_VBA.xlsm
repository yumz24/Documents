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A63ED3A1-9429-3D75-F2AA-CA7E51A8F3A1}"/>
  <workbookPr codeName="ThisWorkbook"/>
  <mc:AlternateContent xmlns:mc="http://schemas.openxmlformats.org/markup-compatibility/2006">
    <mc:Choice Requires="x15">
      <x15ac:absPath xmlns:x15ac="http://schemas.microsoft.com/office/spreadsheetml/2010/11/ac" url="https://d.docs.live.net/bc521604723f0b4a/詳細設計書/"/>
    </mc:Choice>
  </mc:AlternateContent>
  <xr:revisionPtr revIDLastSave="477" documentId="8_{25F9557F-625B-4C13-9878-ADD75AECE642}" xr6:coauthVersionLast="47" xr6:coauthVersionMax="47" xr10:uidLastSave="{FD661106-C7DD-6540-B763-5B435BDD6DCB}"/>
  <bookViews>
    <workbookView xWindow="26300" yWindow="500" windowWidth="24900" windowHeight="28300" tabRatio="758" activeTab="5" xr2:uid="{00000000-000D-0000-FFFF-FFFF00000000}"/>
  </bookViews>
  <sheets>
    <sheet name="改訂履歴" sheetId="70" r:id="rId1"/>
    <sheet name="機能要件" sheetId="71" r:id="rId2"/>
    <sheet name="画面イメージ" sheetId="62" r:id="rId3"/>
    <sheet name="IO関連" sheetId="64" state="hidden" r:id="rId4"/>
    <sheet name="画面項目" sheetId="65" r:id="rId5"/>
    <sheet name="イベント処理" sheetId="67" r:id="rId6"/>
    <sheet name="DB処理" sheetId="66" state="hidden" r:id="rId7"/>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S1" i="70" l="1"/>
  <c r="AS2" i="70"/>
  <c r="G1" i="70"/>
  <c r="G1" i="71" s="1"/>
  <c r="AS1" i="71" l="1"/>
  <c r="AS1" i="66"/>
  <c r="AS1" i="64"/>
  <c r="AS1" i="62"/>
  <c r="AS1" i="65"/>
  <c r="AS1" i="67"/>
  <c r="AS2" i="64"/>
  <c r="AS2" i="65"/>
  <c r="AS2" i="62"/>
  <c r="AS2" i="67"/>
  <c r="AS2" i="71"/>
  <c r="AS2" i="66"/>
  <c r="G1" i="62"/>
  <c r="G1" i="67"/>
  <c r="G1" i="64"/>
  <c r="G1" i="65"/>
  <c r="G1" i="66"/>
  <c r="AE2" i="70"/>
  <c r="AE2" i="71" s="1"/>
  <c r="BB1" i="70"/>
  <c r="BB2" i="70"/>
  <c r="BB1" i="71" l="1"/>
  <c r="BB2" i="71"/>
  <c r="BB2" i="64"/>
  <c r="BB2" i="65"/>
  <c r="BB2" i="67"/>
  <c r="BB2" i="66"/>
  <c r="BB2" i="62"/>
  <c r="BB1" i="62"/>
  <c r="BB1" i="67"/>
  <c r="BB1" i="64"/>
  <c r="BB1" i="66"/>
  <c r="BB1" i="65"/>
  <c r="AE2" i="64"/>
  <c r="AE2" i="65"/>
  <c r="AE2" i="67"/>
  <c r="AE2" i="66"/>
  <c r="AE2" i="62"/>
  <c r="G2" i="70"/>
  <c r="G2" i="71" s="1"/>
  <c r="AE1" i="70"/>
  <c r="AE1" i="71" s="1"/>
  <c r="AE1" i="62" l="1"/>
  <c r="AE1" i="67"/>
  <c r="AE1" i="66"/>
  <c r="AE1" i="65"/>
  <c r="AE1" i="64"/>
  <c r="G2" i="65"/>
  <c r="G2" i="67"/>
  <c r="G2" i="66"/>
  <c r="G2" i="64"/>
  <c r="G2" i="62"/>
  <c r="A22" i="64"/>
  <c r="A23" i="64"/>
  <c r="A24" i="64"/>
  <c r="A25" i="64"/>
  <c r="A26" i="64"/>
  <c r="A27" i="64"/>
  <c r="A28" i="64"/>
  <c r="A29" i="64"/>
  <c r="A30" i="64"/>
  <c r="A33" i="64"/>
  <c r="A34" i="64"/>
  <c r="A35" i="64"/>
  <c r="A36" i="64"/>
  <c r="A37" i="64"/>
  <c r="A38" i="64"/>
  <c r="A39" i="64"/>
  <c r="A40" i="64"/>
  <c r="A41" i="64"/>
  <c r="A44" i="64"/>
  <c r="A45" i="64"/>
  <c r="A46" i="64"/>
  <c r="A47" i="64"/>
  <c r="A48" i="64"/>
  <c r="A49" i="64"/>
  <c r="A50" i="64"/>
  <c r="A51" i="64"/>
  <c r="A52" i="64"/>
  <c r="A6" i="65"/>
  <c r="A7" i="65"/>
  <c r="A8" i="65"/>
  <c r="A9" i="65"/>
  <c r="A10" i="65"/>
  <c r="A11" i="65"/>
  <c r="A12" i="65"/>
  <c r="A13" i="65"/>
  <c r="A14" i="65"/>
  <c r="A15" i="65"/>
  <c r="A16" i="65"/>
  <c r="A17" i="65"/>
  <c r="A18" i="65"/>
  <c r="A19" i="65"/>
  <c r="A20" i="65"/>
  <c r="A21" i="65"/>
  <c r="A22" i="65"/>
  <c r="A23" i="65"/>
  <c r="A24" i="65"/>
  <c r="A25" i="65"/>
  <c r="A26" i="65"/>
  <c r="A27" i="65"/>
  <c r="A28" i="65"/>
  <c r="A29" i="65"/>
  <c r="A30" i="65"/>
  <c r="A31" i="65"/>
  <c r="A32" i="65"/>
  <c r="A33" i="65"/>
  <c r="A34" i="65"/>
  <c r="A35" i="65"/>
  <c r="A36" i="65"/>
  <c r="A37" i="65"/>
  <c r="A38" i="65"/>
  <c r="A39" i="65"/>
  <c r="A40" i="65"/>
  <c r="A41" i="65"/>
  <c r="A42" i="65"/>
  <c r="A43" i="65"/>
  <c r="A44" i="65"/>
  <c r="A45" i="65"/>
  <c r="A46" i="65"/>
  <c r="A47" i="65"/>
  <c r="A48" i="65"/>
  <c r="A49" i="65"/>
  <c r="A50" i="65"/>
  <c r="A51" i="65"/>
  <c r="A52" i="65"/>
  <c r="A53" i="65"/>
  <c r="A54" i="65"/>
</calcChain>
</file>

<file path=xl/sharedStrings.xml><?xml version="1.0" encoding="utf-8"?>
<sst xmlns="http://schemas.openxmlformats.org/spreadsheetml/2006/main" count="244" uniqueCount="130">
  <si>
    <t>システム名称</t>
    <rPh sb="4" eb="6">
      <t>メイショウ</t>
    </rPh>
    <phoneticPr fontId="1"/>
  </si>
  <si>
    <t>備考</t>
    <rPh sb="0" eb="2">
      <t>ビコウ</t>
    </rPh>
    <phoneticPr fontId="1"/>
  </si>
  <si>
    <t>論理名称</t>
    <rPh sb="0" eb="2">
      <t>ロンリ</t>
    </rPh>
    <rPh sb="2" eb="4">
      <t>メイショウ</t>
    </rPh>
    <phoneticPr fontId="1"/>
  </si>
  <si>
    <t>物理名称</t>
    <rPh sb="0" eb="2">
      <t>ブツリ</t>
    </rPh>
    <rPh sb="2" eb="4">
      <t>メイショウ</t>
    </rPh>
    <phoneticPr fontId="1"/>
  </si>
  <si>
    <t>システムID</t>
    <phoneticPr fontId="1"/>
  </si>
  <si>
    <t>テーブル一覧</t>
    <rPh sb="4" eb="6">
      <t>イチラン</t>
    </rPh>
    <phoneticPr fontId="1"/>
  </si>
  <si>
    <t>No</t>
    <phoneticPr fontId="1"/>
  </si>
  <si>
    <t>I/O</t>
    <phoneticPr fontId="1"/>
  </si>
  <si>
    <t>I/O関連図</t>
    <rPh sb="3" eb="5">
      <t>カンレン</t>
    </rPh>
    <rPh sb="5" eb="6">
      <t>ズ</t>
    </rPh>
    <phoneticPr fontId="1"/>
  </si>
  <si>
    <t>ファイル一覧</t>
    <rPh sb="4" eb="6">
      <t>イチラン</t>
    </rPh>
    <phoneticPr fontId="1"/>
  </si>
  <si>
    <t>パラメータ一覧</t>
    <rPh sb="5" eb="7">
      <t>イチラン</t>
    </rPh>
    <phoneticPr fontId="1"/>
  </si>
  <si>
    <t>No</t>
    <phoneticPr fontId="1"/>
  </si>
  <si>
    <t>画面項目</t>
    <rPh sb="0" eb="2">
      <t>ガメン</t>
    </rPh>
    <rPh sb="2" eb="4">
      <t>コウモク</t>
    </rPh>
    <phoneticPr fontId="1"/>
  </si>
  <si>
    <t>項目名称</t>
    <rPh sb="0" eb="2">
      <t>コウモク</t>
    </rPh>
    <rPh sb="2" eb="4">
      <t>メイショウ</t>
    </rPh>
    <phoneticPr fontId="1"/>
  </si>
  <si>
    <t>分類</t>
    <rPh sb="0" eb="2">
      <t>ブンルイ</t>
    </rPh>
    <phoneticPr fontId="1"/>
  </si>
  <si>
    <t>桁数</t>
    <rPh sb="0" eb="2">
      <t>ケタスウ</t>
    </rPh>
    <phoneticPr fontId="1"/>
  </si>
  <si>
    <t>フォーマット</t>
    <phoneticPr fontId="1"/>
  </si>
  <si>
    <t>テーブル</t>
    <phoneticPr fontId="1"/>
  </si>
  <si>
    <t>フィールド</t>
    <phoneticPr fontId="1"/>
  </si>
  <si>
    <t>必須</t>
    <rPh sb="0" eb="2">
      <t>ヒッス</t>
    </rPh>
    <phoneticPr fontId="1"/>
  </si>
  <si>
    <t>抽出項目</t>
    <rPh sb="0" eb="2">
      <t>チュウシュツ</t>
    </rPh>
    <rPh sb="2" eb="4">
      <t>コウモク</t>
    </rPh>
    <phoneticPr fontId="1"/>
  </si>
  <si>
    <t>抽出対象</t>
    <rPh sb="2" eb="4">
      <t>タイショウ</t>
    </rPh>
    <phoneticPr fontId="1"/>
  </si>
  <si>
    <t>抽出条件</t>
    <rPh sb="2" eb="4">
      <t>ジョウケン</t>
    </rPh>
    <phoneticPr fontId="1"/>
  </si>
  <si>
    <t>初期表示処理</t>
    <rPh sb="0" eb="2">
      <t>ショキ</t>
    </rPh>
    <rPh sb="2" eb="4">
      <t>ヒョウジ</t>
    </rPh>
    <rPh sb="4" eb="6">
      <t>ショリ</t>
    </rPh>
    <phoneticPr fontId="1"/>
  </si>
  <si>
    <t>画面イメージ</t>
    <phoneticPr fontId="1"/>
  </si>
  <si>
    <t>改訂内容</t>
  </si>
  <si>
    <t>○○データ抽出処理</t>
    <rPh sb="5" eb="7">
      <t>チュウシュツ</t>
    </rPh>
    <rPh sb="7" eb="9">
      <t>ショリ</t>
    </rPh>
    <phoneticPr fontId="1"/>
  </si>
  <si>
    <t>ドキュメント名</t>
    <rPh sb="6" eb="7">
      <t>メイ</t>
    </rPh>
    <phoneticPr fontId="1"/>
  </si>
  <si>
    <t>ドキュメントID</t>
    <phoneticPr fontId="1"/>
  </si>
  <si>
    <t>版</t>
    <rPh sb="0" eb="1">
      <t>ハン</t>
    </rPh>
    <phoneticPr fontId="2"/>
  </si>
  <si>
    <t>バージョン</t>
    <phoneticPr fontId="1"/>
  </si>
  <si>
    <t>作成日</t>
    <rPh sb="0" eb="3">
      <t>サクセイビ</t>
    </rPh>
    <phoneticPr fontId="1"/>
  </si>
  <si>
    <t>改定者</t>
    <rPh sb="0" eb="3">
      <t>カイテイシャ</t>
    </rPh>
    <phoneticPr fontId="1"/>
  </si>
  <si>
    <t>改定日</t>
    <rPh sb="0" eb="3">
      <t>カイテイビ</t>
    </rPh>
    <phoneticPr fontId="1"/>
  </si>
  <si>
    <t>対象(シート名)</t>
    <rPh sb="6" eb="7">
      <t>メイ</t>
    </rPh>
    <phoneticPr fontId="1"/>
  </si>
  <si>
    <t>水谷</t>
    <rPh sb="0" eb="2">
      <t>ミズタニ</t>
    </rPh>
    <phoneticPr fontId="1"/>
  </si>
  <si>
    <t>全シート</t>
    <rPh sb="0" eb="1">
      <t>ゼン</t>
    </rPh>
    <phoneticPr fontId="1"/>
  </si>
  <si>
    <t>更新区分</t>
    <rPh sb="0" eb="4">
      <t xml:space="preserve">コウシンクブン </t>
    </rPh>
    <phoneticPr fontId="1"/>
  </si>
  <si>
    <t>機能要件</t>
    <rPh sb="0" eb="4">
      <t>キノウヨウケン</t>
    </rPh>
    <phoneticPr fontId="1"/>
  </si>
  <si>
    <t>https://ja.wikipedia.org/wiki/%E3%83%86%E3%83%88%E3%83%AA%E3%82%B9</t>
    <phoneticPr fontId="9"/>
  </si>
  <si>
    <t>wikipedia参照</t>
    <rPh sb="9" eb="11">
      <t>サンショウ</t>
    </rPh>
    <phoneticPr fontId="9"/>
  </si>
  <si>
    <t>4つの正方形のブロックを組み合わせて作成した、7種のブロック（下記画像）</t>
    <rPh sb="3" eb="6">
      <t>セイホウケイ</t>
    </rPh>
    <rPh sb="12" eb="13">
      <t>ク</t>
    </rPh>
    <rPh sb="14" eb="15">
      <t>ア</t>
    </rPh>
    <rPh sb="18" eb="20">
      <t>サクセイ</t>
    </rPh>
    <rPh sb="24" eb="25">
      <t>シュ</t>
    </rPh>
    <rPh sb="31" eb="33">
      <t>カキ</t>
    </rPh>
    <rPh sb="33" eb="35">
      <t>ガゾウ</t>
    </rPh>
    <phoneticPr fontId="9"/>
  </si>
  <si>
    <t>ブロックピース（テトリミノ）がフィールド上からランダムに1種類ずつ落下してくる。</t>
    <rPh sb="20" eb="21">
      <t>ジョウ</t>
    </rPh>
    <rPh sb="29" eb="31">
      <t>シュルイ</t>
    </rPh>
    <rPh sb="33" eb="35">
      <t>ラッカ</t>
    </rPh>
    <phoneticPr fontId="9"/>
  </si>
  <si>
    <t>プレイヤーはテトリミノが落下している間、次に落ちてくるテトリミノの形状を知ることができる。</t>
    <rPh sb="12" eb="14">
      <t>ラッカ</t>
    </rPh>
    <rPh sb="18" eb="19">
      <t>アイダ</t>
    </rPh>
    <rPh sb="20" eb="21">
      <t>ツギ</t>
    </rPh>
    <rPh sb="22" eb="23">
      <t>オ</t>
    </rPh>
    <rPh sb="33" eb="35">
      <t>ケイジョウ</t>
    </rPh>
    <rPh sb="36" eb="37">
      <t>シ</t>
    </rPh>
    <phoneticPr fontId="9"/>
  </si>
  <si>
    <t>1段消し…シングル</t>
  </si>
  <si>
    <t>2段消し…ダブル</t>
  </si>
  <si>
    <t>4段消し…テトリス</t>
  </si>
  <si>
    <r>
      <t>3</t>
    </r>
    <r>
      <rPr>
        <sz val="11"/>
        <color rgb="FF202122"/>
        <rFont val="ＭＳ ゴシック"/>
        <family val="3"/>
        <charset val="128"/>
      </rPr>
      <t>段消し</t>
    </r>
    <r>
      <rPr>
        <sz val="11"/>
        <color rgb="FF202122"/>
        <rFont val="ＭＳ ゴシック"/>
        <family val="2"/>
        <charset val="128"/>
      </rPr>
      <t>…</t>
    </r>
    <r>
      <rPr>
        <sz val="11"/>
        <color rgb="FF202122"/>
        <rFont val="ＭＳ ゴシック"/>
        <family val="3"/>
        <charset val="128"/>
      </rPr>
      <t>トリプル</t>
    </r>
    <phoneticPr fontId="9"/>
  </si>
  <si>
    <t>プレイヤーは、以下のいずれかまたはその複合の操作を落下中にすることができる,</t>
    <rPh sb="7" eb="9">
      <t>イカ</t>
    </rPh>
    <phoneticPr fontId="9"/>
  </si>
  <si>
    <r>
      <t>テトリミノを左右</t>
    </r>
    <r>
      <rPr>
        <sz val="11"/>
        <color rgb="FF202122"/>
        <rFont val="Arial"/>
        <family val="2"/>
      </rPr>
      <t>90</t>
    </r>
    <r>
      <rPr>
        <sz val="11"/>
        <color rgb="FF202122"/>
        <rFont val="ＭＳ Ｐゴシック"/>
        <family val="3"/>
        <charset val="128"/>
      </rPr>
      <t>度単位で</t>
    </r>
    <r>
      <rPr>
        <sz val="11"/>
        <color rgb="FF202122"/>
        <rFont val="Arial"/>
        <family val="2"/>
      </rPr>
      <t>4</t>
    </r>
    <r>
      <rPr>
        <sz val="11"/>
        <color rgb="FF202122"/>
        <rFont val="ＭＳ Ｐゴシック"/>
        <family val="3"/>
        <charset val="128"/>
      </rPr>
      <t>方位に回転させる</t>
    </r>
    <phoneticPr fontId="9"/>
  </si>
  <si>
    <t>格子単位で左右に移動させる</t>
    <phoneticPr fontId="9"/>
  </si>
  <si>
    <t>高速に（又は瞬時に）落下させる</t>
  </si>
  <si>
    <t>・</t>
    <phoneticPr fontId="9"/>
  </si>
  <si>
    <t>同時に多くの段（通常は最大4段）を消去する程、高得点が得られる。</t>
    <phoneticPr fontId="9"/>
  </si>
  <si>
    <r>
      <rPr>
        <sz val="11"/>
        <color rgb="FF202122"/>
        <rFont val="ＭＳ ゴシック"/>
        <family val="3"/>
        <charset val="128"/>
      </rPr>
      <t>格子の任意の</t>
    </r>
    <r>
      <rPr>
        <sz val="11"/>
        <color rgb="FF202122"/>
        <rFont val="Arial"/>
        <family val="2"/>
      </rPr>
      <t>1 - 4</t>
    </r>
    <r>
      <rPr>
        <sz val="11"/>
        <color rgb="FF202122"/>
        <rFont val="ＭＳ ゴシック"/>
        <family val="3"/>
        <charset val="128"/>
      </rPr>
      <t>段がすべてブロックで埋め尽くされると、その段が消滅し、段数によって以下のように呼ばれ、得点となる</t>
    </r>
    <r>
      <rPr>
        <sz val="11"/>
        <color rgb="FF202122"/>
        <rFont val="Yu Gothic"/>
        <family val="3"/>
        <charset val="128"/>
      </rPr>
      <t>。</t>
    </r>
    <phoneticPr fontId="9"/>
  </si>
  <si>
    <t>テトリスフィールド</t>
    <phoneticPr fontId="1"/>
  </si>
  <si>
    <t>エリア</t>
    <phoneticPr fontId="1"/>
  </si>
  <si>
    <t>〇</t>
    <phoneticPr fontId="1"/>
  </si>
  <si>
    <t>-</t>
    <phoneticPr fontId="1"/>
  </si>
  <si>
    <t>NEXT</t>
    <phoneticPr fontId="1"/>
  </si>
  <si>
    <t>縦20行 × 横10列</t>
    <phoneticPr fontId="1"/>
  </si>
  <si>
    <t>SCORE</t>
    <phoneticPr fontId="1"/>
  </si>
  <si>
    <t>ボタン</t>
    <phoneticPr fontId="1"/>
  </si>
  <si>
    <t>遊び方説明</t>
    <rPh sb="0" eb="1">
      <t>アソ</t>
    </rPh>
    <rPh sb="2" eb="3">
      <t>カタ</t>
    </rPh>
    <rPh sb="3" eb="5">
      <t>セツメイ</t>
    </rPh>
    <phoneticPr fontId="1"/>
  </si>
  <si>
    <t>終了メッセージ</t>
    <rPh sb="0" eb="2">
      <t>シュウリョウ</t>
    </rPh>
    <phoneticPr fontId="1"/>
  </si>
  <si>
    <t>メッセージボックス</t>
    <phoneticPr fontId="1"/>
  </si>
  <si>
    <t>メッセージ</t>
    <phoneticPr fontId="1"/>
  </si>
  <si>
    <t>ゲーム操作方法</t>
    <rPh sb="3" eb="5">
      <t>ソウサ</t>
    </rPh>
    <rPh sb="5" eb="7">
      <t>ホウホウ</t>
    </rPh>
    <phoneticPr fontId="1"/>
  </si>
  <si>
    <t>スコア</t>
    <phoneticPr fontId="1"/>
  </si>
  <si>
    <t>ゲーム開始ボタン</t>
    <rPh sb="3" eb="5">
      <t>カイシ</t>
    </rPh>
    <phoneticPr fontId="1"/>
  </si>
  <si>
    <t>テトリスミノ一覧</t>
    <rPh sb="6" eb="8">
      <t>イチラン</t>
    </rPh>
    <phoneticPr fontId="1"/>
  </si>
  <si>
    <t>0.3 秒ごとに一行したにブロックが移動し、その0.3秒のうちの0.1秒ごとにキーボードのイベントを取得</t>
    <phoneticPr fontId="9"/>
  </si>
  <si>
    <t>テトリミノがフィールド最下段、または他のテトリミノの上に着地するか引っかかると、そのテトリミノはフィールドに固定される</t>
    <phoneticPr fontId="9"/>
  </si>
  <si>
    <t>その後、新しいテトリミノがフィールド上方に出現する。</t>
    <rPh sb="2" eb="3">
      <t>ゴ</t>
    </rPh>
    <phoneticPr fontId="9"/>
  </si>
  <si>
    <t>https://lemon818.com/excel-tetoris/#google_vignette</t>
    <phoneticPr fontId="9"/>
  </si>
  <si>
    <t>テトリス作成で参考にしたサイト</t>
    <rPh sb="4" eb="6">
      <t>サクセイ</t>
    </rPh>
    <rPh sb="7" eb="9">
      <t>サンコウ</t>
    </rPh>
    <phoneticPr fontId="9"/>
  </si>
  <si>
    <t>ゲームオーバーの時に表示する。</t>
    <rPh sb="8" eb="9">
      <t>トキ</t>
    </rPh>
    <rPh sb="10" eb="12">
      <t>ヒョウジ</t>
    </rPh>
    <phoneticPr fontId="1"/>
  </si>
  <si>
    <t>特になし。</t>
    <rPh sb="0" eb="1">
      <t>トク</t>
    </rPh>
    <phoneticPr fontId="1"/>
  </si>
  <si>
    <t>テトリスフィールド、NEXT、スコア、ゲーム開始ボタン、ゲーム操作方法が表示されていること。</t>
    <rPh sb="22" eb="24">
      <t>カイシ</t>
    </rPh>
    <rPh sb="31" eb="35">
      <t>ソウサホウホウ</t>
    </rPh>
    <rPh sb="36" eb="38">
      <t>ヒョウジ</t>
    </rPh>
    <phoneticPr fontId="1"/>
  </si>
  <si>
    <t>ゲーム開始ボタンクリック時</t>
    <rPh sb="3" eb="5">
      <t>カイシ</t>
    </rPh>
    <rPh sb="12" eb="13">
      <t>ジ</t>
    </rPh>
    <phoneticPr fontId="1"/>
  </si>
  <si>
    <t>ライン消し処理</t>
    <rPh sb="3" eb="4">
      <t>ケ</t>
    </rPh>
    <rPh sb="5" eb="7">
      <t>ショリ</t>
    </rPh>
    <phoneticPr fontId="1"/>
  </si>
  <si>
    <t>テトリスの終了条件</t>
    <rPh sb="5" eb="9">
      <t>シュウリョウジョウケン</t>
    </rPh>
    <phoneticPr fontId="1"/>
  </si>
  <si>
    <t>スコアの計算式</t>
    <rPh sb="4" eb="6">
      <t>ケイサン</t>
    </rPh>
    <rPh sb="6" eb="7">
      <t>シキ</t>
    </rPh>
    <phoneticPr fontId="9"/>
  </si>
  <si>
    <t>[現在のスコア] + 100 + [消した行の数] * 300</t>
    <rPh sb="1" eb="3">
      <t>ゲンザイ</t>
    </rPh>
    <phoneticPr fontId="9"/>
  </si>
  <si>
    <t>操作方法</t>
    <rPh sb="0" eb="4">
      <t>ソウサホウホウ</t>
    </rPh>
    <phoneticPr fontId="9"/>
  </si>
  <si>
    <t>「←」「↑」「↓」「→」キー : ブロックの移動</t>
    <phoneticPr fontId="9"/>
  </si>
  <si>
    <t>「Ctrl」キー : ブロックの回転</t>
    <phoneticPr fontId="9"/>
  </si>
  <si>
    <t>「Home」キー : テトリスの終了</t>
    <phoneticPr fontId="9"/>
  </si>
  <si>
    <t>ゲームの終了条件</t>
    <rPh sb="4" eb="8">
      <t>シュウリョウジョウケン</t>
    </rPh>
    <phoneticPr fontId="9"/>
  </si>
  <si>
    <t>「Home」キーを押下したとき</t>
    <rPh sb="9" eb="11">
      <t>オウカ</t>
    </rPh>
    <phoneticPr fontId="9"/>
  </si>
  <si>
    <t>テトリスミノが天井のラインを超えたとき</t>
    <rPh sb="7" eb="9">
      <t>テンジョウ</t>
    </rPh>
    <rPh sb="14" eb="15">
      <t>コ</t>
    </rPh>
    <phoneticPr fontId="9"/>
  </si>
  <si>
    <t>フィールドのサイズ</t>
    <phoneticPr fontId="9"/>
  </si>
  <si>
    <t>縦20行 × 横10列</t>
    <phoneticPr fontId="9"/>
  </si>
  <si>
    <t>新規作成</t>
    <rPh sb="0" eb="2">
      <t>シンキ</t>
    </rPh>
    <rPh sb="2" eb="4">
      <t>サクセイ</t>
    </rPh>
    <phoneticPr fontId="1"/>
  </si>
  <si>
    <t>機能要件、画面イメージ、画面項目、イベント処理を作成。</t>
    <rPh sb="0" eb="4">
      <t>キノウヨウケン</t>
    </rPh>
    <rPh sb="5" eb="7">
      <t>ガメン</t>
    </rPh>
    <rPh sb="12" eb="16">
      <t>ガメンコウモク</t>
    </rPh>
    <rPh sb="21" eb="23">
      <t>ショリ</t>
    </rPh>
    <rPh sb="24" eb="26">
      <t>サクセイ</t>
    </rPh>
    <phoneticPr fontId="1"/>
  </si>
  <si>
    <t>テトリスのレイアウト作成</t>
    <rPh sb="10" eb="12">
      <t>サクセイ</t>
    </rPh>
    <phoneticPr fontId="1"/>
  </si>
  <si>
    <t>枠を初期化する。</t>
    <rPh sb="0" eb="1">
      <t>ワク</t>
    </rPh>
    <rPh sb="2" eb="5">
      <t>ショキカ</t>
    </rPh>
    <phoneticPr fontId="1"/>
  </si>
  <si>
    <t>テトリスフィールドの外枠を作成する。</t>
    <rPh sb="10" eb="12">
      <t>ソトワク</t>
    </rPh>
    <rPh sb="13" eb="15">
      <t>サクセイ</t>
    </rPh>
    <phoneticPr fontId="1"/>
  </si>
  <si>
    <t>次のテトリスを表示させる枠を作成する。</t>
    <rPh sb="14" eb="16">
      <t>サクセイ</t>
    </rPh>
    <phoneticPr fontId="1"/>
  </si>
  <si>
    <t>・</t>
    <phoneticPr fontId="1"/>
  </si>
  <si>
    <t>正方形ブロック作成</t>
    <rPh sb="0" eb="3">
      <t>セイホウケイ</t>
    </rPh>
    <rPh sb="7" eb="9">
      <t>サクセイ</t>
    </rPh>
    <phoneticPr fontId="1"/>
  </si>
  <si>
    <t>長方形ブロック作成</t>
    <rPh sb="0" eb="3">
      <t>チョウホウケイ</t>
    </rPh>
    <rPh sb="7" eb="9">
      <t>サクセイ</t>
    </rPh>
    <phoneticPr fontId="1"/>
  </si>
  <si>
    <t>L字ブロック作成</t>
    <rPh sb="1" eb="2">
      <t>ジ</t>
    </rPh>
    <rPh sb="6" eb="8">
      <t>サクセイ</t>
    </rPh>
    <phoneticPr fontId="1"/>
  </si>
  <si>
    <t>逆L字ブロック作成</t>
    <rPh sb="0" eb="1">
      <t>ギャク</t>
    </rPh>
    <rPh sb="2" eb="3">
      <t>ジ</t>
    </rPh>
    <rPh sb="7" eb="9">
      <t>サクセイ</t>
    </rPh>
    <phoneticPr fontId="1"/>
  </si>
  <si>
    <t>山ブロック作成</t>
    <rPh sb="0" eb="1">
      <t>ヤマ</t>
    </rPh>
    <rPh sb="5" eb="7">
      <t>サクセイ</t>
    </rPh>
    <phoneticPr fontId="1"/>
  </si>
  <si>
    <t>Z字ブロック作成</t>
    <rPh sb="1" eb="2">
      <t>ジ</t>
    </rPh>
    <rPh sb="6" eb="8">
      <t>サクセイ</t>
    </rPh>
    <phoneticPr fontId="1"/>
  </si>
  <si>
    <t>逆Z字ブロック作成</t>
    <rPh sb="0" eb="1">
      <t>ギャク</t>
    </rPh>
    <rPh sb="2" eb="3">
      <t>ジ</t>
    </rPh>
    <rPh sb="7" eb="9">
      <t>サクセイ</t>
    </rPh>
    <phoneticPr fontId="1"/>
  </si>
  <si>
    <t>セルに色を付ける</t>
    <rPh sb="3" eb="4">
      <t>イロ</t>
    </rPh>
    <rPh sb="5" eb="6">
      <t>ツ</t>
    </rPh>
    <phoneticPr fontId="1"/>
  </si>
  <si>
    <t>ブロック作成（セルに色と枠線をつける）座標情報（何行何列目に入力するか）のみで描く</t>
    <rPh sb="4" eb="6">
      <t>サクセイ</t>
    </rPh>
    <phoneticPr fontId="1"/>
  </si>
  <si>
    <t>上記ブロックをランダムに取得する</t>
    <rPh sb="0" eb="2">
      <t>ジョウキ</t>
    </rPh>
    <phoneticPr fontId="1"/>
  </si>
  <si>
    <t>ブロック削除処理</t>
    <rPh sb="4" eb="6">
      <t>サクジョ</t>
    </rPh>
    <rPh sb="6" eb="8">
      <t>ショリ</t>
    </rPh>
    <phoneticPr fontId="1"/>
  </si>
  <si>
    <t>ランダムにブロックを取得する。</t>
    <rPh sb="10" eb="12">
      <t xml:space="preserve">シュトクスウル </t>
    </rPh>
    <phoneticPr fontId="1"/>
  </si>
  <si>
    <t>正方形ブロック削除</t>
    <rPh sb="0" eb="3">
      <t>セイホウケイ</t>
    </rPh>
    <phoneticPr fontId="1"/>
  </si>
  <si>
    <t>長方形ブロック削除</t>
    <rPh sb="0" eb="3">
      <t>チョウホウケイ</t>
    </rPh>
    <phoneticPr fontId="1"/>
  </si>
  <si>
    <t>L字ブロック削除</t>
    <rPh sb="1" eb="2">
      <t>ジ</t>
    </rPh>
    <phoneticPr fontId="1"/>
  </si>
  <si>
    <t>逆L字ブロック削除</t>
    <rPh sb="0" eb="1">
      <t>ギャク</t>
    </rPh>
    <rPh sb="2" eb="3">
      <t>ジ</t>
    </rPh>
    <phoneticPr fontId="1"/>
  </si>
  <si>
    <t>山ブロック削除</t>
    <rPh sb="0" eb="1">
      <t>ヤマ</t>
    </rPh>
    <phoneticPr fontId="1"/>
  </si>
  <si>
    <t>Z字ブロック削除</t>
    <rPh sb="1" eb="2">
      <t>ジ</t>
    </rPh>
    <phoneticPr fontId="1"/>
  </si>
  <si>
    <t>逆Z字ブロック削除</t>
    <rPh sb="0" eb="1">
      <t>ギャク</t>
    </rPh>
    <rPh sb="2" eb="3">
      <t>ジ</t>
    </rPh>
    <phoneticPr fontId="1"/>
  </si>
  <si>
    <t>移動前のブロックの書式を削除</t>
    <rPh sb="0" eb="3">
      <t xml:space="preserve">イドウマエノ </t>
    </rPh>
    <rPh sb="9" eb="11">
      <t xml:space="preserve">ショシキヲ </t>
    </rPh>
    <rPh sb="12" eb="14">
      <t xml:space="preserve">サクジョ </t>
    </rPh>
    <phoneticPr fontId="1"/>
  </si>
  <si>
    <t>次のブロックに色をつける</t>
    <rPh sb="0" eb="1">
      <t xml:space="preserve">ツギノ </t>
    </rPh>
    <phoneticPr fontId="1"/>
  </si>
  <si>
    <t>ブロックの移動（キーボードの矢印キーの入力で行う）</t>
    <rPh sb="5" eb="7">
      <t>イドウ</t>
    </rPh>
    <rPh sb="10" eb="12">
      <t>カイテン</t>
    </rPh>
    <phoneticPr fontId="1"/>
  </si>
  <si>
    <t>移動範囲に関しては、ブロックごとに先頭セルを設定し、先頭セルの次の行/列のセルの背景色が「白」の場合、移動可能にする</t>
    <rPh sb="0" eb="1">
      <t xml:space="preserve">イドウハンイニカンシテハ </t>
    </rPh>
    <rPh sb="17" eb="19">
      <t xml:space="preserve">セントウ </t>
    </rPh>
    <rPh sb="22" eb="24">
      <t xml:space="preserve">セッテイシ、 </t>
    </rPh>
    <rPh sb="26" eb="28">
      <t xml:space="preserve">セントウ </t>
    </rPh>
    <rPh sb="33" eb="34">
      <t xml:space="preserve">ギョウ </t>
    </rPh>
    <rPh sb="35" eb="36">
      <t xml:space="preserve">レツ </t>
    </rPh>
    <rPh sb="40" eb="43">
      <t xml:space="preserve">ハイケイショクガ </t>
    </rPh>
    <rPh sb="45" eb="46">
      <t xml:space="preserve">シロ </t>
    </rPh>
    <rPh sb="51" eb="55">
      <t xml:space="preserve">イドウカノウニスル </t>
    </rPh>
    <phoneticPr fontId="1"/>
  </si>
  <si>
    <t>ブロックの回転（キーボードの「Ctrl」キーの押下回数分回転する）</t>
    <rPh sb="23" eb="25">
      <t xml:space="preserve">オウカ </t>
    </rPh>
    <rPh sb="25" eb="27">
      <t xml:space="preserve">カイスウ </t>
    </rPh>
    <rPh sb="27" eb="28">
      <t xml:space="preserve">ブン </t>
    </rPh>
    <rPh sb="28" eb="30">
      <t xml:space="preserve">カイテンスル </t>
    </rPh>
    <phoneticPr fontId="1"/>
  </si>
  <si>
    <t>回転パターンをあらかじめ用意しておき、「Ctrl」の押下回数によって、描画するミノを変える</t>
    <rPh sb="0" eb="2">
      <t xml:space="preserve">カイテンパターン </t>
    </rPh>
    <rPh sb="12" eb="14">
      <t xml:space="preserve">ヨウイシル </t>
    </rPh>
    <rPh sb="26" eb="28">
      <t xml:space="preserve">オウカ </t>
    </rPh>
    <rPh sb="28" eb="30">
      <t xml:space="preserve">カイスウ </t>
    </rPh>
    <rPh sb="35" eb="37">
      <t xml:space="preserve">ビョウガスル </t>
    </rPh>
    <rPh sb="42" eb="43">
      <t xml:space="preserve">カエル </t>
    </rPh>
    <phoneticPr fontId="1"/>
  </si>
  <si>
    <t>※</t>
    <phoneticPr fontId="1"/>
  </si>
  <si>
    <t>回転可能かの判定は必要</t>
    <rPh sb="0" eb="4">
      <t xml:space="preserve">カイテンカノウカノ </t>
    </rPh>
    <rPh sb="6" eb="8">
      <t xml:space="preserve">ハンテイハ </t>
    </rPh>
    <rPh sb="9" eb="11">
      <t xml:space="preserve">ヒツヨウ </t>
    </rPh>
    <phoneticPr fontId="1"/>
  </si>
  <si>
    <t>ブロックが一行揃っているかを判定する</t>
    <rPh sb="5" eb="8">
      <t xml:space="preserve">イチギョウソロッテイルカ </t>
    </rPh>
    <rPh sb="14" eb="16">
      <t xml:space="preserve">ハンテイシ </t>
    </rPh>
    <phoneticPr fontId="1"/>
  </si>
  <si>
    <t>揃っている場合、その行を一瞬灰色にしてから削除し、スコアを加算する</t>
    <rPh sb="0" eb="1">
      <t xml:space="preserve">ソロッテイルバアイ </t>
    </rPh>
    <rPh sb="12" eb="14">
      <t xml:space="preserve">イッシュン </t>
    </rPh>
    <rPh sb="14" eb="16">
      <t xml:space="preserve">ハイイロニ </t>
    </rPh>
    <rPh sb="21" eb="23">
      <t xml:space="preserve">サクジョシ </t>
    </rPh>
    <rPh sb="29" eb="31">
      <t xml:space="preserve">カサンスル </t>
    </rPh>
    <phoneticPr fontId="1"/>
  </si>
  <si>
    <t>天井の行を指定し、その行のセル書式を確認し、ブロックがあれば狩猟メッセージを表示する</t>
    <rPh sb="0" eb="2">
      <t xml:space="preserve">テンジョウノギョウヲ </t>
    </rPh>
    <rPh sb="5" eb="7">
      <t xml:space="preserve">シテイシ </t>
    </rPh>
    <rPh sb="18" eb="20">
      <t xml:space="preserve">カクニンシ </t>
    </rPh>
    <rPh sb="30" eb="32">
      <t xml:space="preserve">シュリョウメッセージヲ </t>
    </rPh>
    <rPh sb="38" eb="40">
      <t xml:space="preserve">ヒョウジスル </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</si>
</sst>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yyyy/mm/dd"/>
    <numFmt numFmtId="177" formatCode="yyyy/m/d;@"/>
  </numFmts>
  <fonts count="17">
    <font>
      <sz val="11"/>
      <name val="ＭＳ Ｐゴシック"/>
      <charset val="128"/>
    </font>
    <font>
      <sz val="6"/>
      <name val="ＭＳ Ｐゴシック"/>
      <family val="3"/>
      <charset val="128"/>
    </font>
    <font>
      <u/>
      <sz val="8.25"/>
      <color indexed="36"/>
      <name val="ＭＳ Ｐゴシック"/>
      <family val="3"/>
      <charset val="128"/>
    </font>
    <font>
      <sz val="10"/>
      <name val="ＭＳ ゴシック"/>
      <family val="3"/>
      <charset val="128"/>
    </font>
    <font>
      <sz val="10"/>
      <name val="ＭＳ 明朝"/>
      <family val="1"/>
      <charset val="128"/>
    </font>
    <font>
      <sz val="11"/>
      <color indexed="9"/>
      <name val="ＭＳ ゴシック"/>
      <family val="3"/>
      <charset val="128"/>
    </font>
    <font>
      <sz val="11"/>
      <name val="ＭＳ ゴシック"/>
      <family val="3"/>
      <charset val="128"/>
    </font>
    <font>
      <sz val="11"/>
      <color indexed="9"/>
      <name val="ＭＳ ゴシック"/>
      <family val="3"/>
    </font>
    <font>
      <sz val="11"/>
      <name val="ＭＳ ゴシック"/>
      <family val="3"/>
    </font>
    <font>
      <sz val="6"/>
      <name val="ＭＳ Ｐゴシック"/>
      <family val="3"/>
      <charset val="128"/>
    </font>
    <font>
      <u/>
      <sz val="11"/>
      <color theme="10"/>
      <name val="ＭＳ Ｐゴシック"/>
      <family val="3"/>
      <charset val="128"/>
    </font>
    <font>
      <sz val="11"/>
      <color rgb="FF202122"/>
      <name val="Arial"/>
      <family val="2"/>
    </font>
    <font>
      <sz val="11"/>
      <color rgb="FF202122"/>
      <name val="ＭＳ ゴシック"/>
      <family val="2"/>
      <charset val="128"/>
    </font>
    <font>
      <sz val="11"/>
      <color rgb="FF202122"/>
      <name val="ＭＳ ゴシック"/>
      <family val="3"/>
      <charset val="128"/>
    </font>
    <font>
      <sz val="11"/>
      <color rgb="FF202122"/>
      <name val="Arial"/>
      <family val="3"/>
      <charset val="128"/>
    </font>
    <font>
      <sz val="11"/>
      <color rgb="FF202122"/>
      <name val="ＭＳ Ｐゴシック"/>
      <family val="3"/>
      <charset val="128"/>
    </font>
    <font>
      <sz val="11"/>
      <color rgb="FF202122"/>
      <name val="Yu Gothic"/>
      <family val="3"/>
      <charset val="128"/>
    </font>
  </fonts>
  <fills count="3">
    <fill>
      <patternFill patternType="none"/>
    </fill>
    <fill>
      <patternFill patternType="gray125"/>
    </fill>
    <fill>
      <patternFill patternType="solid">
        <fgColor theme="8"/>
        <bgColor indexed="64"/>
      </patternFill>
    </fill>
  </fills>
  <borders count="14">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4">
    <xf numFmtId="0" fontId="0" fillId="0" borderId="0"/>
    <xf numFmtId="0" fontId="4" fillId="0" borderId="0"/>
    <xf numFmtId="0" fontId="3" fillId="0" borderId="0"/>
    <xf numFmtId="0" fontId="10" fillId="0" borderId="0" applyNumberFormat="0" applyFill="0" applyBorder="0" applyAlignment="0" applyProtection="0"/>
  </cellStyleXfs>
  <cellXfs count="90">
    <xf numFmtId="0" fontId="0" fillId="0" borderId="0" xfId="0"/>
    <xf numFmtId="0" fontId="6" fillId="0" borderId="0" xfId="0" applyFont="1"/>
    <xf numFmtId="0" fontId="6" fillId="0" borderId="0" xfId="0" applyFont="1" applyAlignment="1">
      <alignment vertical="center"/>
    </xf>
    <xf numFmtId="0" fontId="5" fillId="2" borderId="10" xfId="0" applyFont="1" applyFill="1" applyBorder="1" applyAlignment="1">
      <alignment vertical="center"/>
    </xf>
    <xf numFmtId="0" fontId="5" fillId="2" borderId="11" xfId="0" applyFont="1" applyFill="1" applyBorder="1" applyAlignment="1">
      <alignment vertical="center"/>
    </xf>
    <xf numFmtId="0" fontId="5" fillId="2" borderId="12" xfId="0" applyFont="1" applyFill="1" applyBorder="1" applyAlignment="1">
      <alignment vertical="center"/>
    </xf>
    <xf numFmtId="0" fontId="5" fillId="2" borderId="2" xfId="0" applyFont="1" applyFill="1" applyBorder="1" applyAlignment="1">
      <alignment vertical="center"/>
    </xf>
    <xf numFmtId="0" fontId="5" fillId="2" borderId="3" xfId="0" applyFont="1" applyFill="1" applyBorder="1" applyAlignment="1">
      <alignment vertical="center"/>
    </xf>
    <xf numFmtId="0" fontId="6" fillId="0" borderId="1" xfId="0" applyFont="1" applyFill="1" applyBorder="1" applyAlignment="1">
      <alignment vertical="top"/>
    </xf>
    <xf numFmtId="0" fontId="6" fillId="0" borderId="2" xfId="0" applyFont="1" applyFill="1" applyBorder="1" applyAlignment="1">
      <alignment vertical="top"/>
    </xf>
    <xf numFmtId="0" fontId="6" fillId="0" borderId="3" xfId="0" applyFont="1" applyFill="1" applyBorder="1" applyAlignment="1">
      <alignment vertical="top"/>
    </xf>
    <xf numFmtId="0" fontId="6" fillId="0" borderId="4" xfId="0" applyFont="1" applyFill="1" applyBorder="1" applyAlignment="1">
      <alignment vertical="top"/>
    </xf>
    <xf numFmtId="0" fontId="6" fillId="0" borderId="0" xfId="0" applyFont="1" applyFill="1" applyBorder="1" applyAlignment="1">
      <alignment vertical="top"/>
    </xf>
    <xf numFmtId="0" fontId="6" fillId="0" borderId="5" xfId="0" applyFont="1" applyFill="1" applyBorder="1" applyAlignment="1">
      <alignment vertical="top"/>
    </xf>
    <xf numFmtId="0" fontId="6" fillId="0" borderId="6" xfId="0" applyFont="1" applyFill="1" applyBorder="1" applyAlignment="1">
      <alignment vertical="top"/>
    </xf>
    <xf numFmtId="0" fontId="6" fillId="0" borderId="7" xfId="0" applyFont="1" applyFill="1" applyBorder="1" applyAlignment="1">
      <alignment vertical="top"/>
    </xf>
    <xf numFmtId="0" fontId="6" fillId="0" borderId="8" xfId="0" applyFont="1" applyFill="1" applyBorder="1" applyAlignment="1">
      <alignment vertical="top"/>
    </xf>
    <xf numFmtId="0" fontId="5" fillId="2" borderId="6" xfId="0" applyFont="1" applyFill="1" applyBorder="1" applyAlignment="1">
      <alignment vertical="center"/>
    </xf>
    <xf numFmtId="0" fontId="5" fillId="2" borderId="7" xfId="0" applyFont="1" applyFill="1" applyBorder="1" applyAlignment="1">
      <alignment vertical="center"/>
    </xf>
    <xf numFmtId="0" fontId="5" fillId="2" borderId="8" xfId="0" applyFont="1" applyFill="1" applyBorder="1" applyAlignment="1">
      <alignment vertical="center"/>
    </xf>
    <xf numFmtId="0" fontId="6" fillId="0" borderId="4" xfId="0" applyFont="1" applyBorder="1"/>
    <xf numFmtId="0" fontId="6" fillId="0" borderId="0" xfId="0" applyFont="1" applyBorder="1"/>
    <xf numFmtId="0" fontId="6" fillId="0" borderId="6" xfId="0" applyFont="1" applyBorder="1"/>
    <xf numFmtId="0" fontId="6" fillId="0" borderId="7" xfId="0" applyFont="1" applyBorder="1"/>
    <xf numFmtId="0" fontId="5" fillId="2" borderId="9" xfId="0" applyFont="1" applyFill="1" applyBorder="1" applyAlignment="1">
      <alignment horizontal="center" vertical="top"/>
    </xf>
    <xf numFmtId="0" fontId="6" fillId="0" borderId="9" xfId="0" applyFont="1" applyBorder="1" applyAlignment="1">
      <alignment vertical="top"/>
    </xf>
    <xf numFmtId="0" fontId="6" fillId="0" borderId="1" xfId="0" applyFont="1" applyBorder="1" applyAlignment="1">
      <alignment vertical="top"/>
    </xf>
    <xf numFmtId="0" fontId="6" fillId="0" borderId="2" xfId="0" applyFont="1" applyBorder="1" applyAlignment="1">
      <alignment vertical="top"/>
    </xf>
    <xf numFmtId="0" fontId="6" fillId="0" borderId="3" xfId="0" applyFont="1" applyBorder="1" applyAlignment="1">
      <alignment vertical="top"/>
    </xf>
    <xf numFmtId="0" fontId="6" fillId="0" borderId="4" xfId="0" applyFont="1" applyBorder="1" applyAlignment="1">
      <alignment vertical="top"/>
    </xf>
    <xf numFmtId="0" fontId="6" fillId="0" borderId="0" xfId="0" applyFont="1" applyBorder="1" applyAlignment="1">
      <alignment vertical="top"/>
    </xf>
    <xf numFmtId="0" fontId="6" fillId="0" borderId="5" xfId="0" applyFont="1" applyBorder="1" applyAlignment="1">
      <alignment vertical="top"/>
    </xf>
    <xf numFmtId="0" fontId="5" fillId="2" borderId="10" xfId="0" applyFont="1" applyFill="1" applyBorder="1" applyAlignment="1">
      <alignment vertical="top"/>
    </xf>
    <xf numFmtId="0" fontId="5" fillId="2" borderId="11" xfId="0" applyFont="1" applyFill="1" applyBorder="1" applyAlignment="1">
      <alignment vertical="top"/>
    </xf>
    <xf numFmtId="0" fontId="5" fillId="2" borderId="12" xfId="0" applyFont="1" applyFill="1" applyBorder="1" applyAlignment="1">
      <alignment vertical="top"/>
    </xf>
    <xf numFmtId="0" fontId="5" fillId="2" borderId="13" xfId="0" applyFont="1" applyFill="1" applyBorder="1" applyAlignment="1">
      <alignment horizontal="center" vertical="top"/>
    </xf>
    <xf numFmtId="0" fontId="6" fillId="0" borderId="6" xfId="0" applyFont="1" applyBorder="1" applyAlignment="1">
      <alignment vertical="top"/>
    </xf>
    <xf numFmtId="0" fontId="6" fillId="0" borderId="7" xfId="0" applyFont="1" applyBorder="1" applyAlignment="1">
      <alignment vertical="top"/>
    </xf>
    <xf numFmtId="0" fontId="6" fillId="0" borderId="8" xfId="0" applyFont="1" applyBorder="1" applyAlignment="1">
      <alignment vertical="top"/>
    </xf>
    <xf numFmtId="0" fontId="6" fillId="0" borderId="5" xfId="0" applyFont="1" applyBorder="1"/>
    <xf numFmtId="0" fontId="6" fillId="0" borderId="8" xfId="0" applyFont="1" applyBorder="1"/>
    <xf numFmtId="0" fontId="11" fillId="0" borderId="0" xfId="0" applyFont="1"/>
    <xf numFmtId="0" fontId="11" fillId="0" borderId="0" xfId="0" applyFont="1" applyAlignment="1">
      <alignment vertical="center"/>
    </xf>
    <xf numFmtId="0" fontId="14" fillId="0" borderId="0" xfId="0" applyFont="1" applyAlignment="1">
      <alignment vertical="center"/>
    </xf>
    <xf numFmtId="0" fontId="15" fillId="0" borderId="0" xfId="0" applyFont="1" applyAlignment="1">
      <alignment vertical="center"/>
    </xf>
    <xf numFmtId="0" fontId="13" fillId="0" borderId="0" xfId="0" applyFont="1" applyAlignment="1">
      <alignment vertical="center"/>
    </xf>
    <xf numFmtId="0" fontId="10" fillId="0" borderId="0" xfId="3" applyBorder="1" applyAlignment="1">
      <alignment vertical="top"/>
    </xf>
    <xf numFmtId="0" fontId="6" fillId="0" borderId="9" xfId="1" applyFont="1" applyBorder="1" applyAlignment="1">
      <alignment horizontal="center" vertical="center"/>
    </xf>
    <xf numFmtId="176" fontId="6" fillId="0" borderId="9" xfId="1" applyNumberFormat="1" applyFont="1" applyBorder="1" applyAlignment="1">
      <alignment horizontal="center"/>
    </xf>
    <xf numFmtId="0" fontId="6" fillId="0" borderId="9" xfId="1" applyFont="1" applyBorder="1" applyAlignment="1">
      <alignment horizontal="center"/>
    </xf>
    <xf numFmtId="177" fontId="6" fillId="0" borderId="10" xfId="1" applyNumberFormat="1" applyFont="1" applyBorder="1" applyAlignment="1">
      <alignment horizontal="center"/>
    </xf>
    <xf numFmtId="177" fontId="6" fillId="0" borderId="11" xfId="1" applyNumberFormat="1" applyFont="1" applyBorder="1" applyAlignment="1">
      <alignment horizontal="center"/>
    </xf>
    <xf numFmtId="177" fontId="6" fillId="0" borderId="12" xfId="1" applyNumberFormat="1" applyFont="1" applyBorder="1" applyAlignment="1">
      <alignment horizontal="center"/>
    </xf>
    <xf numFmtId="0" fontId="8" fillId="0" borderId="10" xfId="1" applyFont="1" applyBorder="1" applyAlignment="1">
      <alignment horizontal="center"/>
    </xf>
    <xf numFmtId="0" fontId="8" fillId="0" borderId="11" xfId="1" applyFont="1" applyBorder="1" applyAlignment="1">
      <alignment horizontal="center"/>
    </xf>
    <xf numFmtId="0" fontId="8" fillId="0" borderId="12" xfId="1" applyFont="1" applyBorder="1" applyAlignment="1">
      <alignment horizontal="center"/>
    </xf>
    <xf numFmtId="0" fontId="5" fillId="2" borderId="4" xfId="1" applyFont="1" applyFill="1" applyBorder="1" applyAlignment="1">
      <alignment horizontal="center"/>
    </xf>
    <xf numFmtId="0" fontId="5" fillId="2" borderId="5" xfId="1" applyFont="1" applyFill="1" applyBorder="1" applyAlignment="1">
      <alignment horizontal="center"/>
    </xf>
    <xf numFmtId="0" fontId="5" fillId="2" borderId="9" xfId="1" applyFont="1" applyFill="1" applyBorder="1" applyAlignment="1">
      <alignment horizontal="center"/>
    </xf>
    <xf numFmtId="0" fontId="5" fillId="2" borderId="0" xfId="1" applyFont="1" applyFill="1" applyAlignment="1">
      <alignment horizontal="center"/>
    </xf>
    <xf numFmtId="0" fontId="5" fillId="2" borderId="9" xfId="2" applyFont="1" applyFill="1" applyBorder="1" applyAlignment="1">
      <alignment horizontal="center" vertical="center"/>
    </xf>
    <xf numFmtId="14" fontId="6" fillId="0" borderId="10" xfId="0" applyNumberFormat="1" applyFont="1" applyBorder="1" applyAlignment="1">
      <alignment horizontal="center"/>
    </xf>
    <xf numFmtId="14" fontId="6" fillId="0" borderId="11" xfId="0" applyNumberFormat="1" applyFont="1" applyBorder="1" applyAlignment="1">
      <alignment horizontal="center"/>
    </xf>
    <xf numFmtId="14" fontId="6" fillId="0" borderId="12" xfId="0" applyNumberFormat="1" applyFont="1" applyBorder="1" applyAlignment="1">
      <alignment horizontal="center"/>
    </xf>
    <xf numFmtId="177" fontId="6" fillId="0" borderId="10" xfId="0" applyNumberFormat="1" applyFont="1" applyBorder="1" applyAlignment="1">
      <alignment horizontal="center"/>
    </xf>
    <xf numFmtId="177" fontId="6" fillId="0" borderId="11" xfId="0" applyNumberFormat="1" applyFont="1" applyBorder="1" applyAlignment="1">
      <alignment horizontal="center"/>
    </xf>
    <xf numFmtId="177" fontId="6" fillId="0" borderId="12" xfId="0" applyNumberFormat="1" applyFont="1" applyBorder="1" applyAlignment="1">
      <alignment horizontal="center"/>
    </xf>
    <xf numFmtId="0" fontId="6" fillId="0" borderId="9" xfId="0" applyFont="1" applyBorder="1" applyAlignment="1">
      <alignment horizontal="center"/>
    </xf>
    <xf numFmtId="0" fontId="5" fillId="2" borderId="10" xfId="1" applyFont="1" applyFill="1" applyBorder="1" applyAlignment="1">
      <alignment horizontal="center"/>
    </xf>
    <xf numFmtId="0" fontId="5" fillId="2" borderId="11" xfId="1" applyFont="1" applyFill="1" applyBorder="1" applyAlignment="1">
      <alignment horizontal="center"/>
    </xf>
    <xf numFmtId="0" fontId="5" fillId="2" borderId="12" xfId="1" applyFont="1" applyFill="1" applyBorder="1" applyAlignment="1">
      <alignment horizontal="center"/>
    </xf>
    <xf numFmtId="0" fontId="6" fillId="0" borderId="10" xfId="0" applyFont="1" applyBorder="1" applyAlignment="1">
      <alignment horizontal="center"/>
    </xf>
    <xf numFmtId="0" fontId="6" fillId="0" borderId="11" xfId="0" applyFont="1" applyBorder="1" applyAlignment="1">
      <alignment horizontal="center"/>
    </xf>
    <xf numFmtId="0" fontId="6" fillId="0" borderId="12" xfId="0" applyFont="1" applyBorder="1" applyAlignment="1">
      <alignment horizontal="center"/>
    </xf>
    <xf numFmtId="0" fontId="7" fillId="2" borderId="10" xfId="1" applyFont="1" applyFill="1" applyBorder="1" applyAlignment="1">
      <alignment horizontal="center"/>
    </xf>
    <xf numFmtId="0" fontId="7" fillId="2" borderId="11" xfId="1" applyFont="1" applyFill="1" applyBorder="1" applyAlignment="1">
      <alignment horizontal="center"/>
    </xf>
    <xf numFmtId="0" fontId="7" fillId="2" borderId="12" xfId="1" applyFont="1" applyFill="1" applyBorder="1" applyAlignment="1">
      <alignment horizontal="center"/>
    </xf>
    <xf numFmtId="0" fontId="6" fillId="0" borderId="10" xfId="0" applyFont="1" applyBorder="1" applyAlignment="1">
      <alignment vertical="top"/>
    </xf>
    <xf numFmtId="0" fontId="6" fillId="0" borderId="11" xfId="0" applyFont="1" applyBorder="1" applyAlignment="1">
      <alignment vertical="top"/>
    </xf>
    <xf numFmtId="0" fontId="6" fillId="0" borderId="12" xfId="0" applyFont="1" applyBorder="1" applyAlignment="1">
      <alignment vertical="top"/>
    </xf>
    <xf numFmtId="0" fontId="6" fillId="0" borderId="10" xfId="0" applyFont="1" applyBorder="1" applyAlignment="1">
      <alignment horizontal="center" vertical="top"/>
    </xf>
    <xf numFmtId="0" fontId="6" fillId="0" borderId="12" xfId="0" applyFont="1" applyBorder="1" applyAlignment="1">
      <alignment horizontal="center" vertical="top"/>
    </xf>
    <xf numFmtId="0" fontId="5" fillId="2" borderId="10" xfId="0" applyFont="1" applyFill="1" applyBorder="1" applyAlignment="1">
      <alignment horizontal="center" vertical="top"/>
    </xf>
    <xf numFmtId="0" fontId="5" fillId="2" borderId="11" xfId="0" applyFont="1" applyFill="1" applyBorder="1" applyAlignment="1">
      <alignment horizontal="center" vertical="top"/>
    </xf>
    <xf numFmtId="0" fontId="5" fillId="2" borderId="12" xfId="0" applyFont="1" applyFill="1" applyBorder="1" applyAlignment="1">
      <alignment horizontal="center" vertical="top"/>
    </xf>
    <xf numFmtId="0" fontId="6" fillId="0" borderId="9" xfId="0" applyFont="1" applyBorder="1" applyAlignment="1">
      <alignment horizontal="center" vertical="top"/>
    </xf>
    <xf numFmtId="0" fontId="6" fillId="0" borderId="9" xfId="0" applyFont="1" applyBorder="1" applyAlignment="1">
      <alignment vertical="top"/>
    </xf>
    <xf numFmtId="0" fontId="5" fillId="2" borderId="1" xfId="0" applyFont="1" applyFill="1" applyBorder="1" applyAlignment="1">
      <alignment horizontal="center" vertical="top"/>
    </xf>
    <xf numFmtId="0" fontId="5" fillId="2" borderId="2" xfId="0" applyFont="1" applyFill="1" applyBorder="1" applyAlignment="1">
      <alignment horizontal="center" vertical="top"/>
    </xf>
    <xf numFmtId="0" fontId="6" fillId="0" borderId="9" xfId="0" applyFont="1" applyBorder="1" applyAlignment="1">
      <alignment horizontal="left" vertical="top"/>
    </xf>
  </cellXfs>
  <cellStyles count="4">
    <cellStyle name="ハイパーリンク" xfId="3" builtinId="8"/>
    <cellStyle name="標準" xfId="0" builtinId="0"/>
    <cellStyle name="標準_ﾌﾟﾛｸﾞﾗﾑ一覧" xfId="1" xr:uid="{00000000-0005-0000-0000-000001000000}"/>
    <cellStyle name="標準_受入登録（詳細）2000バージョン" xfId="2" xr:uid="{00000000-0005-0000-0000-000002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7" Type="http://schemas.openxmlformats.org/officeDocument/2006/relationships/image" Target="../media/image1.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22</xdr:col>
      <xdr:colOff>114300</xdr:colOff>
      <xdr:row>13</xdr:row>
      <xdr:rowOff>0</xdr:rowOff>
    </xdr:to>
    <xdr:pic>
      <xdr:nvPicPr>
        <xdr:cNvPr id="2" name="図 1">
          <a:extLst>
            <a:ext uri="{FF2B5EF4-FFF2-40B4-BE49-F238E27FC236}">
              <a16:creationId xmlns:a16="http://schemas.microsoft.com/office/drawing/2014/main" id="{45E6B261-F31C-3371-8A4F-DAF604D23E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0025" y="1714500"/>
          <a:ext cx="4314825" cy="342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6</xdr:row>
      <xdr:rowOff>21416</xdr:rowOff>
    </xdr:from>
    <xdr:to>
      <xdr:col>15</xdr:col>
      <xdr:colOff>125194</xdr:colOff>
      <xdr:row>30</xdr:row>
      <xdr:rowOff>66675</xdr:rowOff>
    </xdr:to>
    <xdr:pic>
      <xdr:nvPicPr>
        <xdr:cNvPr id="4" name="図 3">
          <a:extLst>
            <a:ext uri="{FF2B5EF4-FFF2-40B4-BE49-F238E27FC236}">
              <a16:creationId xmlns:a16="http://schemas.microsoft.com/office/drawing/2014/main" id="{86B60313-8BB0-2F75-340D-066D511D28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0025" y="1050116"/>
          <a:ext cx="2925544" cy="41600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6</xdr:row>
      <xdr:rowOff>21416</xdr:rowOff>
    </xdr:from>
    <xdr:to>
      <xdr:col>27</xdr:col>
      <xdr:colOff>161925</xdr:colOff>
      <xdr:row>18</xdr:row>
      <xdr:rowOff>95192</xdr:rowOff>
    </xdr:to>
    <xdr:pic>
      <xdr:nvPicPr>
        <xdr:cNvPr id="5" name="図 4">
          <a:extLst>
            <a:ext uri="{FF2B5EF4-FFF2-40B4-BE49-F238E27FC236}">
              <a16:creationId xmlns:a16="http://schemas.microsoft.com/office/drawing/2014/main" id="{80C8E81D-E263-FE58-B6CC-C98646F9D75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400425" y="1050116"/>
          <a:ext cx="2162175" cy="21311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28575</xdr:colOff>
      <xdr:row>21</xdr:row>
      <xdr:rowOff>14968</xdr:rowOff>
    </xdr:from>
    <xdr:to>
      <xdr:col>28</xdr:col>
      <xdr:colOff>0</xdr:colOff>
      <xdr:row>24</xdr:row>
      <xdr:rowOff>95250</xdr:rowOff>
    </xdr:to>
    <xdr:pic>
      <xdr:nvPicPr>
        <xdr:cNvPr id="6" name="図 5">
          <a:extLst>
            <a:ext uri="{FF2B5EF4-FFF2-40B4-BE49-F238E27FC236}">
              <a16:creationId xmlns:a16="http://schemas.microsoft.com/office/drawing/2014/main" id="{68DD2403-B6AD-770A-8244-9DD296825EE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429000" y="3615418"/>
          <a:ext cx="2171700" cy="5946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27</xdr:row>
      <xdr:rowOff>19050</xdr:rowOff>
    </xdr:from>
    <xdr:to>
      <xdr:col>27</xdr:col>
      <xdr:colOff>76200</xdr:colOff>
      <xdr:row>32</xdr:row>
      <xdr:rowOff>0</xdr:rowOff>
    </xdr:to>
    <xdr:pic>
      <xdr:nvPicPr>
        <xdr:cNvPr id="7" name="図 6">
          <a:extLst>
            <a:ext uri="{FF2B5EF4-FFF2-40B4-BE49-F238E27FC236}">
              <a16:creationId xmlns:a16="http://schemas.microsoft.com/office/drawing/2014/main" id="{17A18B05-1137-7AAF-693F-6EBB113E1B8E}"/>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400425" y="4648200"/>
          <a:ext cx="2076450" cy="838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29</xdr:col>
      <xdr:colOff>0</xdr:colOff>
      <xdr:row>6</xdr:row>
      <xdr:rowOff>35968</xdr:rowOff>
    </xdr:from>
    <xdr:to>
      <xdr:col>50</xdr:col>
      <xdr:colOff>113723</xdr:colOff>
      <xdr:row>30</xdr:row>
      <xdr:rowOff>21416</xdr:rowOff>
    </xdr:to>
    <xdr:pic>
      <xdr:nvPicPr>
        <xdr:cNvPr id="8" name="図 7">
          <a:extLst>
            <a:ext uri="{FF2B5EF4-FFF2-40B4-BE49-F238E27FC236}">
              <a16:creationId xmlns:a16="http://schemas.microsoft.com/office/drawing/2014/main" id="{DAA07C1B-F422-2C4C-8A5B-4C5693AA2536}"/>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800725" y="1064668"/>
          <a:ext cx="4314248" cy="41002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66675</xdr:colOff>
      <xdr:row>33</xdr:row>
      <xdr:rowOff>104775</xdr:rowOff>
    </xdr:from>
    <xdr:to>
      <xdr:col>7</xdr:col>
      <xdr:colOff>95250</xdr:colOff>
      <xdr:row>40</xdr:row>
      <xdr:rowOff>5939</xdr:rowOff>
    </xdr:to>
    <xdr:pic>
      <xdr:nvPicPr>
        <xdr:cNvPr id="10" name="図 9">
          <a:extLst>
            <a:ext uri="{FF2B5EF4-FFF2-40B4-BE49-F238E27FC236}">
              <a16:creationId xmlns:a16="http://schemas.microsoft.com/office/drawing/2014/main" id="{487DDA33-A75D-BCB1-A171-236B91ECFE2E}"/>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6725" y="5762625"/>
          <a:ext cx="1028700" cy="11013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0</xdr:colOff>
      <xdr:row>34</xdr:row>
      <xdr:rowOff>0</xdr:rowOff>
    </xdr:from>
    <xdr:to>
      <xdr:col>37</xdr:col>
      <xdr:colOff>114300</xdr:colOff>
      <xdr:row>36</xdr:row>
      <xdr:rowOff>0</xdr:rowOff>
    </xdr:to>
    <xdr:pic>
      <xdr:nvPicPr>
        <xdr:cNvPr id="11" name="図 10">
          <a:extLst>
            <a:ext uri="{FF2B5EF4-FFF2-40B4-BE49-F238E27FC236}">
              <a16:creationId xmlns:a16="http://schemas.microsoft.com/office/drawing/2014/main" id="{F8A5A6D1-C02D-41A8-91CC-4AC14F958558}"/>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00400" y="5829300"/>
          <a:ext cx="4314825" cy="342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lemon818.com/excel-tetoris/" TargetMode="External"/><Relationship Id="rId1" Type="http://schemas.openxmlformats.org/officeDocument/2006/relationships/hyperlink" Target="https://ja.wikipedia.org/wiki/%E3%83%86%E3%83%88%E3%83%AA%E3%82%B9"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BF52"/>
  <sheetViews>
    <sheetView workbookViewId="0">
      <pane ySplit="4" topLeftCell="A5" activePane="bottomLeft" state="frozen"/>
      <selection pane="bottomLeft" activeCell="AU3" sqref="AU3"/>
    </sheetView>
  </sheetViews>
  <sheetFormatPr baseColWidth="10" defaultColWidth="2.6640625" defaultRowHeight="14"/>
  <cols>
    <col min="1" max="14" width="2.6640625" style="1"/>
    <col min="15" max="15" width="2.6640625" style="1" customWidth="1"/>
    <col min="16" max="55" width="2.6640625" style="1"/>
    <col min="56" max="56" width="2.6640625" style="1" customWidth="1"/>
    <col min="57" max="16384" width="2.6640625" style="1"/>
  </cols>
  <sheetData>
    <row r="1" spans="1:58">
      <c r="A1" s="60" t="s">
        <v>27</v>
      </c>
      <c r="B1" s="60"/>
      <c r="C1" s="60"/>
      <c r="D1" s="60"/>
      <c r="E1" s="60"/>
      <c r="F1" s="60"/>
      <c r="G1" s="67" t="str">
        <f ca="1">LEFT(MID(CELL("filename"),FIND("[",CELL("filename"))+1,FIND("]",CELL("filename"))-FIND("[",CELL("filename"))-1), LEN(MID(CELL("filename"),FIND("[",CELL("filename"))+1,FIND("]",CELL("filename"))-FIND("[",CELL("filename"))-1)) - LEN(REPLACE(RIGHT(MID(CELL("filename"),FIND("[",CELL("filename"))+1,FIND("]",CELL("filename"))-FIND("[",CELL("filename"))-1),5),1,SEARCH(".",RIGHT(MID(CELL("filename"),FIND("[",CELL("filename"))+1,FIND("]",CELL("filename"))-FIND("[",CELL("filename"))-1),5)),""))-1)</f>
        <v>DOC00001_詳細設計書_MIPG00001_テトリス_VBA</v>
      </c>
      <c r="H1" s="67"/>
      <c r="I1" s="67"/>
      <c r="J1" s="67"/>
      <c r="K1" s="67"/>
      <c r="L1" s="67"/>
      <c r="M1" s="67"/>
      <c r="N1" s="67"/>
      <c r="O1" s="67"/>
      <c r="P1" s="67"/>
      <c r="Q1" s="67"/>
      <c r="R1" s="67"/>
      <c r="S1" s="67"/>
      <c r="T1" s="67"/>
      <c r="U1" s="67"/>
      <c r="V1" s="67"/>
      <c r="W1" s="67"/>
      <c r="X1" s="67"/>
      <c r="Y1" s="60" t="s">
        <v>28</v>
      </c>
      <c r="Z1" s="60"/>
      <c r="AA1" s="60"/>
      <c r="AB1" s="60"/>
      <c r="AC1" s="60"/>
      <c r="AD1" s="60"/>
      <c r="AE1" s="67" t="str">
        <f ca="1">LEFT($G$1,FIND("_", $G$1)-1)</f>
        <v>DOC00001</v>
      </c>
      <c r="AF1" s="67"/>
      <c r="AG1" s="67"/>
      <c r="AH1" s="67"/>
      <c r="AI1" s="67"/>
      <c r="AJ1" s="67"/>
      <c r="AK1" s="67"/>
      <c r="AL1" s="67"/>
      <c r="AM1" s="67"/>
      <c r="AN1" s="67"/>
      <c r="AO1" s="60" t="s">
        <v>30</v>
      </c>
      <c r="AP1" s="60"/>
      <c r="AQ1" s="60"/>
      <c r="AR1" s="60"/>
      <c r="AS1" s="61" t="str">
        <f>"第" &amp; MAX(A5:A9999) &amp; "版"</f>
        <v>第1版</v>
      </c>
      <c r="AT1" s="62"/>
      <c r="AU1" s="62"/>
      <c r="AV1" s="62"/>
      <c r="AW1" s="63"/>
      <c r="AX1" s="60" t="s">
        <v>32</v>
      </c>
      <c r="AY1" s="60"/>
      <c r="AZ1" s="60"/>
      <c r="BA1" s="60"/>
      <c r="BB1" s="71" t="str">
        <f ca="1">INDIRECT("C" &amp; COUNTA(C5:C999)+4)</f>
        <v>水谷</v>
      </c>
      <c r="BC1" s="72"/>
      <c r="BD1" s="72"/>
      <c r="BE1" s="72"/>
      <c r="BF1" s="73"/>
    </row>
    <row r="2" spans="1:58">
      <c r="A2" s="60" t="s">
        <v>0</v>
      </c>
      <c r="B2" s="60"/>
      <c r="C2" s="60"/>
      <c r="D2" s="60"/>
      <c r="E2" s="60"/>
      <c r="F2" s="60"/>
      <c r="G2" s="67" t="str">
        <f ca="1">MID($G$1,FIND("_",$G$1,FIND("_", $G$1)+FIND("_",$G$1,FIND("_", $G$1)+1))+1,1000)</f>
        <v>テトリス_VBA</v>
      </c>
      <c r="H2" s="67"/>
      <c r="I2" s="67"/>
      <c r="J2" s="67"/>
      <c r="K2" s="67"/>
      <c r="L2" s="67"/>
      <c r="M2" s="67"/>
      <c r="N2" s="67"/>
      <c r="O2" s="67"/>
      <c r="P2" s="67"/>
      <c r="Q2" s="67"/>
      <c r="R2" s="67"/>
      <c r="S2" s="67"/>
      <c r="T2" s="67"/>
      <c r="U2" s="67"/>
      <c r="V2" s="67"/>
      <c r="W2" s="67"/>
      <c r="X2" s="67"/>
      <c r="Y2" s="60" t="s">
        <v>4</v>
      </c>
      <c r="Z2" s="60"/>
      <c r="AA2" s="60"/>
      <c r="AB2" s="60"/>
      <c r="AC2" s="60"/>
      <c r="AD2" s="60"/>
      <c r="AE2" s="67" t="str">
        <f ca="1">MID($G$1,FIND("_",$G$1,FIND("_",$G$1)+1)+1,FIND("_",$G$1,FIND("_",$G$1)*2+1)-FIND("_",$G$1,FIND("_",$G$1)+1)-1)</f>
        <v>MIPG00001</v>
      </c>
      <c r="AF2" s="67"/>
      <c r="AG2" s="67"/>
      <c r="AH2" s="67"/>
      <c r="AI2" s="67"/>
      <c r="AJ2" s="67"/>
      <c r="AK2" s="67"/>
      <c r="AL2" s="67"/>
      <c r="AM2" s="67"/>
      <c r="AN2" s="67"/>
      <c r="AO2" s="60" t="s">
        <v>31</v>
      </c>
      <c r="AP2" s="60"/>
      <c r="AQ2" s="60"/>
      <c r="AR2" s="60"/>
      <c r="AS2" s="64">
        <f>$G$5</f>
        <v>44871</v>
      </c>
      <c r="AT2" s="65"/>
      <c r="AU2" s="65"/>
      <c r="AV2" s="65"/>
      <c r="AW2" s="66"/>
      <c r="AX2" s="60" t="s">
        <v>33</v>
      </c>
      <c r="AY2" s="60"/>
      <c r="AZ2" s="60"/>
      <c r="BA2" s="60"/>
      <c r="BB2" s="64">
        <f ca="1">INDIRECT("G" &amp; COUNTA(G5:G999)+4)</f>
        <v>44871</v>
      </c>
      <c r="BC2" s="65"/>
      <c r="BD2" s="65"/>
      <c r="BE2" s="65"/>
      <c r="BF2" s="66"/>
    </row>
    <row r="4" spans="1:58">
      <c r="A4" s="56" t="s">
        <v>29</v>
      </c>
      <c r="B4" s="57"/>
      <c r="C4" s="58" t="s">
        <v>32</v>
      </c>
      <c r="D4" s="58"/>
      <c r="E4" s="58"/>
      <c r="F4" s="58"/>
      <c r="G4" s="56" t="s">
        <v>33</v>
      </c>
      <c r="H4" s="59"/>
      <c r="I4" s="59"/>
      <c r="J4" s="59"/>
      <c r="K4" s="59"/>
      <c r="L4" s="68" t="s">
        <v>34</v>
      </c>
      <c r="M4" s="69"/>
      <c r="N4" s="69"/>
      <c r="O4" s="69"/>
      <c r="P4" s="69"/>
      <c r="Q4" s="70"/>
      <c r="R4" s="74" t="s">
        <v>37</v>
      </c>
      <c r="S4" s="75"/>
      <c r="T4" s="75"/>
      <c r="U4" s="75"/>
      <c r="V4" s="75"/>
      <c r="W4" s="76"/>
      <c r="X4" s="74" t="s">
        <v>25</v>
      </c>
      <c r="Y4" s="75"/>
      <c r="Z4" s="75"/>
      <c r="AA4" s="75"/>
      <c r="AB4" s="75"/>
      <c r="AC4" s="75"/>
      <c r="AD4" s="75"/>
      <c r="AE4" s="75"/>
      <c r="AF4" s="75"/>
      <c r="AG4" s="75"/>
      <c r="AH4" s="75"/>
      <c r="AI4" s="75"/>
      <c r="AJ4" s="75"/>
      <c r="AK4" s="75"/>
      <c r="AL4" s="75"/>
      <c r="AM4" s="75"/>
      <c r="AN4" s="75"/>
      <c r="AO4" s="75"/>
      <c r="AP4" s="75"/>
      <c r="AQ4" s="75"/>
      <c r="AR4" s="75"/>
      <c r="AS4" s="75"/>
      <c r="AT4" s="75"/>
      <c r="AU4" s="75"/>
      <c r="AV4" s="75"/>
      <c r="AW4" s="75"/>
      <c r="AX4" s="75"/>
      <c r="AY4" s="75"/>
      <c r="AZ4" s="75"/>
      <c r="BA4" s="75"/>
      <c r="BB4" s="75"/>
      <c r="BC4" s="75"/>
      <c r="BD4" s="75"/>
      <c r="BE4" s="76"/>
    </row>
    <row r="5" spans="1:58">
      <c r="A5" s="47">
        <v>1</v>
      </c>
      <c r="B5" s="47"/>
      <c r="C5" s="48" t="s">
        <v>35</v>
      </c>
      <c r="D5" s="48"/>
      <c r="E5" s="48"/>
      <c r="F5" s="48"/>
      <c r="G5" s="50">
        <v>44871</v>
      </c>
      <c r="H5" s="51"/>
      <c r="I5" s="51"/>
      <c r="J5" s="51"/>
      <c r="K5" s="52"/>
      <c r="L5" s="49" t="s">
        <v>36</v>
      </c>
      <c r="M5" s="49"/>
      <c r="N5" s="49"/>
      <c r="O5" s="49"/>
      <c r="P5" s="49"/>
      <c r="Q5" s="49"/>
      <c r="R5" s="53" t="s">
        <v>93</v>
      </c>
      <c r="S5" s="54"/>
      <c r="T5" s="54"/>
      <c r="U5" s="54"/>
      <c r="V5" s="54"/>
      <c r="W5" s="55"/>
      <c r="X5" s="53" t="s">
        <v>94</v>
      </c>
      <c r="Y5" s="54"/>
      <c r="Z5" s="54"/>
      <c r="AA5" s="54"/>
      <c r="AB5" s="54"/>
      <c r="AC5" s="54"/>
      <c r="AD5" s="54"/>
      <c r="AE5" s="54"/>
      <c r="AF5" s="54"/>
      <c r="AG5" s="54"/>
      <c r="AH5" s="54"/>
      <c r="AI5" s="54"/>
      <c r="AJ5" s="54"/>
      <c r="AK5" s="54"/>
      <c r="AL5" s="54"/>
      <c r="AM5" s="54"/>
      <c r="AN5" s="54"/>
      <c r="AO5" s="54"/>
      <c r="AP5" s="54"/>
      <c r="AQ5" s="54"/>
      <c r="AR5" s="54"/>
      <c r="AS5" s="54"/>
      <c r="AT5" s="54"/>
      <c r="AU5" s="54"/>
      <c r="AV5" s="54"/>
      <c r="AW5" s="54"/>
      <c r="AX5" s="54"/>
      <c r="AY5" s="54"/>
      <c r="AZ5" s="54"/>
      <c r="BA5" s="54"/>
      <c r="BB5" s="54"/>
      <c r="BC5" s="54"/>
      <c r="BD5" s="54"/>
      <c r="BE5" s="55"/>
    </row>
    <row r="6" spans="1:58">
      <c r="A6" s="47"/>
      <c r="B6" s="47"/>
      <c r="C6" s="48"/>
      <c r="D6" s="48"/>
      <c r="E6" s="48"/>
      <c r="F6" s="48"/>
      <c r="G6" s="50"/>
      <c r="H6" s="51"/>
      <c r="I6" s="51"/>
      <c r="J6" s="51"/>
      <c r="K6" s="52"/>
      <c r="L6" s="49"/>
      <c r="M6" s="49"/>
      <c r="N6" s="49"/>
      <c r="O6" s="49"/>
      <c r="P6" s="49"/>
      <c r="Q6" s="49"/>
      <c r="R6" s="53"/>
      <c r="S6" s="54"/>
      <c r="T6" s="54"/>
      <c r="U6" s="54"/>
      <c r="V6" s="54"/>
      <c r="W6" s="55"/>
      <c r="X6" s="53"/>
      <c r="Y6" s="54"/>
      <c r="Z6" s="54"/>
      <c r="AA6" s="54"/>
      <c r="AB6" s="54"/>
      <c r="AC6" s="54"/>
      <c r="AD6" s="54"/>
      <c r="AE6" s="54"/>
      <c r="AF6" s="54"/>
      <c r="AG6" s="54"/>
      <c r="AH6" s="54"/>
      <c r="AI6" s="54"/>
      <c r="AJ6" s="54"/>
      <c r="AK6" s="54"/>
      <c r="AL6" s="54"/>
      <c r="AM6" s="54"/>
      <c r="AN6" s="54"/>
      <c r="AO6" s="54"/>
      <c r="AP6" s="54"/>
      <c r="AQ6" s="54"/>
      <c r="AR6" s="54"/>
      <c r="AS6" s="54"/>
      <c r="AT6" s="54"/>
      <c r="AU6" s="54"/>
      <c r="AV6" s="54"/>
      <c r="AW6" s="54"/>
      <c r="AX6" s="54"/>
      <c r="AY6" s="54"/>
      <c r="AZ6" s="54"/>
      <c r="BA6" s="54"/>
      <c r="BB6" s="54"/>
      <c r="BC6" s="54"/>
      <c r="BD6" s="54"/>
      <c r="BE6" s="55"/>
    </row>
    <row r="7" spans="1:58">
      <c r="A7" s="47"/>
      <c r="B7" s="47"/>
      <c r="C7" s="48"/>
      <c r="D7" s="48"/>
      <c r="E7" s="48"/>
      <c r="F7" s="48"/>
      <c r="G7" s="50"/>
      <c r="H7" s="51"/>
      <c r="I7" s="51"/>
      <c r="J7" s="51"/>
      <c r="K7" s="52"/>
      <c r="L7" s="49"/>
      <c r="M7" s="49"/>
      <c r="N7" s="49"/>
      <c r="O7" s="49"/>
      <c r="P7" s="49"/>
      <c r="Q7" s="49"/>
      <c r="R7" s="53"/>
      <c r="S7" s="54"/>
      <c r="T7" s="54"/>
      <c r="U7" s="54"/>
      <c r="V7" s="54"/>
      <c r="W7" s="55"/>
      <c r="X7" s="53"/>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4"/>
      <c r="BA7" s="54"/>
      <c r="BB7" s="54"/>
      <c r="BC7" s="54"/>
      <c r="BD7" s="54"/>
      <c r="BE7" s="55"/>
    </row>
    <row r="8" spans="1:58">
      <c r="A8" s="47"/>
      <c r="B8" s="47"/>
      <c r="C8" s="48"/>
      <c r="D8" s="48"/>
      <c r="E8" s="48"/>
      <c r="F8" s="48"/>
      <c r="G8" s="50"/>
      <c r="H8" s="51"/>
      <c r="I8" s="51"/>
      <c r="J8" s="51"/>
      <c r="K8" s="52"/>
      <c r="L8" s="49"/>
      <c r="M8" s="49"/>
      <c r="N8" s="49"/>
      <c r="O8" s="49"/>
      <c r="P8" s="49"/>
      <c r="Q8" s="49"/>
      <c r="R8" s="53"/>
      <c r="S8" s="54"/>
      <c r="T8" s="54"/>
      <c r="U8" s="54"/>
      <c r="V8" s="54"/>
      <c r="W8" s="55"/>
      <c r="X8" s="53"/>
      <c r="Y8" s="54"/>
      <c r="Z8" s="54"/>
      <c r="AA8" s="54"/>
      <c r="AB8" s="54"/>
      <c r="AC8" s="54"/>
      <c r="AD8" s="54"/>
      <c r="AE8" s="54"/>
      <c r="AF8" s="54"/>
      <c r="AG8" s="54"/>
      <c r="AH8" s="54"/>
      <c r="AI8" s="54"/>
      <c r="AJ8" s="54"/>
      <c r="AK8" s="54"/>
      <c r="AL8" s="54"/>
      <c r="AM8" s="54"/>
      <c r="AN8" s="54"/>
      <c r="AO8" s="54"/>
      <c r="AP8" s="54"/>
      <c r="AQ8" s="54"/>
      <c r="AR8" s="54"/>
      <c r="AS8" s="54"/>
      <c r="AT8" s="54"/>
      <c r="AU8" s="54"/>
      <c r="AV8" s="54"/>
      <c r="AW8" s="54"/>
      <c r="AX8" s="54"/>
      <c r="AY8" s="54"/>
      <c r="AZ8" s="54"/>
      <c r="BA8" s="54"/>
      <c r="BB8" s="54"/>
      <c r="BC8" s="54"/>
      <c r="BD8" s="54"/>
      <c r="BE8" s="55"/>
    </row>
    <row r="9" spans="1:58">
      <c r="A9" s="47"/>
      <c r="B9" s="47"/>
      <c r="C9" s="48"/>
      <c r="D9" s="48"/>
      <c r="E9" s="48"/>
      <c r="F9" s="48"/>
      <c r="G9" s="50"/>
      <c r="H9" s="51"/>
      <c r="I9" s="51"/>
      <c r="J9" s="51"/>
      <c r="K9" s="52"/>
      <c r="L9" s="49"/>
      <c r="M9" s="49"/>
      <c r="N9" s="49"/>
      <c r="O9" s="49"/>
      <c r="P9" s="49"/>
      <c r="Q9" s="49"/>
      <c r="R9" s="53"/>
      <c r="S9" s="54"/>
      <c r="T9" s="54"/>
      <c r="U9" s="54"/>
      <c r="V9" s="54"/>
      <c r="W9" s="55"/>
      <c r="X9" s="53"/>
      <c r="Y9" s="54"/>
      <c r="Z9" s="54"/>
      <c r="AA9" s="54"/>
      <c r="AB9" s="54"/>
      <c r="AC9" s="54"/>
      <c r="AD9" s="54"/>
      <c r="AE9" s="54"/>
      <c r="AF9" s="54"/>
      <c r="AG9" s="54"/>
      <c r="AH9" s="54"/>
      <c r="AI9" s="54"/>
      <c r="AJ9" s="54"/>
      <c r="AK9" s="54"/>
      <c r="AL9" s="54"/>
      <c r="AM9" s="54"/>
      <c r="AN9" s="54"/>
      <c r="AO9" s="54"/>
      <c r="AP9" s="54"/>
      <c r="AQ9" s="54"/>
      <c r="AR9" s="54"/>
      <c r="AS9" s="54"/>
      <c r="AT9" s="54"/>
      <c r="AU9" s="54"/>
      <c r="AV9" s="54"/>
      <c r="AW9" s="54"/>
      <c r="AX9" s="54"/>
      <c r="AY9" s="54"/>
      <c r="AZ9" s="54"/>
      <c r="BA9" s="54"/>
      <c r="BB9" s="54"/>
      <c r="BC9" s="54"/>
      <c r="BD9" s="54"/>
      <c r="BE9" s="55"/>
    </row>
    <row r="10" spans="1:58">
      <c r="A10" s="47"/>
      <c r="B10" s="47"/>
      <c r="C10" s="48"/>
      <c r="D10" s="48"/>
      <c r="E10" s="48"/>
      <c r="F10" s="48"/>
      <c r="G10" s="50"/>
      <c r="H10" s="51"/>
      <c r="I10" s="51"/>
      <c r="J10" s="51"/>
      <c r="K10" s="52"/>
      <c r="L10" s="49"/>
      <c r="M10" s="49"/>
      <c r="N10" s="49"/>
      <c r="O10" s="49"/>
      <c r="P10" s="49"/>
      <c r="Q10" s="49"/>
      <c r="R10" s="53"/>
      <c r="S10" s="54"/>
      <c r="T10" s="54"/>
      <c r="U10" s="54"/>
      <c r="V10" s="54"/>
      <c r="W10" s="55"/>
      <c r="X10" s="53"/>
      <c r="Y10" s="54"/>
      <c r="Z10" s="54"/>
      <c r="AA10" s="54"/>
      <c r="AB10" s="54"/>
      <c r="AC10" s="54"/>
      <c r="AD10" s="54"/>
      <c r="AE10" s="54"/>
      <c r="AF10" s="54"/>
      <c r="AG10" s="54"/>
      <c r="AH10" s="54"/>
      <c r="AI10" s="54"/>
      <c r="AJ10" s="54"/>
      <c r="AK10" s="54"/>
      <c r="AL10" s="54"/>
      <c r="AM10" s="54"/>
      <c r="AN10" s="54"/>
      <c r="AO10" s="54"/>
      <c r="AP10" s="54"/>
      <c r="AQ10" s="54"/>
      <c r="AR10" s="54"/>
      <c r="AS10" s="54"/>
      <c r="AT10" s="54"/>
      <c r="AU10" s="54"/>
      <c r="AV10" s="54"/>
      <c r="AW10" s="54"/>
      <c r="AX10" s="54"/>
      <c r="AY10" s="54"/>
      <c r="AZ10" s="54"/>
      <c r="BA10" s="54"/>
      <c r="BB10" s="54"/>
      <c r="BC10" s="54"/>
      <c r="BD10" s="54"/>
      <c r="BE10" s="55"/>
    </row>
    <row r="11" spans="1:58">
      <c r="A11" s="47"/>
      <c r="B11" s="47"/>
      <c r="C11" s="48"/>
      <c r="D11" s="48"/>
      <c r="E11" s="48"/>
      <c r="F11" s="48"/>
      <c r="G11" s="50"/>
      <c r="H11" s="51"/>
      <c r="I11" s="51"/>
      <c r="J11" s="51"/>
      <c r="K11" s="52"/>
      <c r="L11" s="49"/>
      <c r="M11" s="49"/>
      <c r="N11" s="49"/>
      <c r="O11" s="49"/>
      <c r="P11" s="49"/>
      <c r="Q11" s="49"/>
      <c r="R11" s="53"/>
      <c r="S11" s="54"/>
      <c r="T11" s="54"/>
      <c r="U11" s="54"/>
      <c r="V11" s="54"/>
      <c r="W11" s="55"/>
      <c r="X11" s="53"/>
      <c r="Y11" s="54"/>
      <c r="Z11" s="54"/>
      <c r="AA11" s="54"/>
      <c r="AB11" s="54"/>
      <c r="AC11" s="54"/>
      <c r="AD11" s="54"/>
      <c r="AE11" s="54"/>
      <c r="AF11" s="54"/>
      <c r="AG11" s="54"/>
      <c r="AH11" s="54"/>
      <c r="AI11" s="54"/>
      <c r="AJ11" s="54"/>
      <c r="AK11" s="54"/>
      <c r="AL11" s="54"/>
      <c r="AM11" s="54"/>
      <c r="AN11" s="54"/>
      <c r="AO11" s="54"/>
      <c r="AP11" s="54"/>
      <c r="AQ11" s="54"/>
      <c r="AR11" s="54"/>
      <c r="AS11" s="54"/>
      <c r="AT11" s="54"/>
      <c r="AU11" s="54"/>
      <c r="AV11" s="54"/>
      <c r="AW11" s="54"/>
      <c r="AX11" s="54"/>
      <c r="AY11" s="54"/>
      <c r="AZ11" s="54"/>
      <c r="BA11" s="54"/>
      <c r="BB11" s="54"/>
      <c r="BC11" s="54"/>
      <c r="BD11" s="54"/>
      <c r="BE11" s="55"/>
    </row>
    <row r="12" spans="1:58">
      <c r="A12" s="47"/>
      <c r="B12" s="47"/>
      <c r="C12" s="48"/>
      <c r="D12" s="48"/>
      <c r="E12" s="48"/>
      <c r="F12" s="48"/>
      <c r="G12" s="50"/>
      <c r="H12" s="51"/>
      <c r="I12" s="51"/>
      <c r="J12" s="51"/>
      <c r="K12" s="52"/>
      <c r="L12" s="49"/>
      <c r="M12" s="49"/>
      <c r="N12" s="49"/>
      <c r="O12" s="49"/>
      <c r="P12" s="49"/>
      <c r="Q12" s="49"/>
      <c r="R12" s="53"/>
      <c r="S12" s="54"/>
      <c r="T12" s="54"/>
      <c r="U12" s="54"/>
      <c r="V12" s="54"/>
      <c r="W12" s="55"/>
      <c r="X12" s="53"/>
      <c r="Y12" s="54"/>
      <c r="Z12" s="54"/>
      <c r="AA12" s="54"/>
      <c r="AB12" s="54"/>
      <c r="AC12" s="54"/>
      <c r="AD12" s="54"/>
      <c r="AE12" s="54"/>
      <c r="AF12" s="54"/>
      <c r="AG12" s="54"/>
      <c r="AH12" s="54"/>
      <c r="AI12" s="54"/>
      <c r="AJ12" s="54"/>
      <c r="AK12" s="54"/>
      <c r="AL12" s="54"/>
      <c r="AM12" s="54"/>
      <c r="AN12" s="54"/>
      <c r="AO12" s="54"/>
      <c r="AP12" s="54"/>
      <c r="AQ12" s="54"/>
      <c r="AR12" s="54"/>
      <c r="AS12" s="54"/>
      <c r="AT12" s="54"/>
      <c r="AU12" s="54"/>
      <c r="AV12" s="54"/>
      <c r="AW12" s="54"/>
      <c r="AX12" s="54"/>
      <c r="AY12" s="54"/>
      <c r="AZ12" s="54"/>
      <c r="BA12" s="54"/>
      <c r="BB12" s="54"/>
      <c r="BC12" s="54"/>
      <c r="BD12" s="54"/>
      <c r="BE12" s="55"/>
    </row>
    <row r="13" spans="1:58">
      <c r="A13" s="47"/>
      <c r="B13" s="47"/>
      <c r="C13" s="48"/>
      <c r="D13" s="48"/>
      <c r="E13" s="48"/>
      <c r="F13" s="48"/>
      <c r="G13" s="50"/>
      <c r="H13" s="51"/>
      <c r="I13" s="51"/>
      <c r="J13" s="51"/>
      <c r="K13" s="52"/>
      <c r="L13" s="49"/>
      <c r="M13" s="49"/>
      <c r="N13" s="49"/>
      <c r="O13" s="49"/>
      <c r="P13" s="49"/>
      <c r="Q13" s="49"/>
      <c r="R13" s="53"/>
      <c r="S13" s="54"/>
      <c r="T13" s="54"/>
      <c r="U13" s="54"/>
      <c r="V13" s="54"/>
      <c r="W13" s="55"/>
      <c r="X13" s="53"/>
      <c r="Y13" s="54"/>
      <c r="Z13" s="54"/>
      <c r="AA13" s="54"/>
      <c r="AB13" s="54"/>
      <c r="AC13" s="54"/>
      <c r="AD13" s="54"/>
      <c r="AE13" s="54"/>
      <c r="AF13" s="54"/>
      <c r="AG13" s="54"/>
      <c r="AH13" s="54"/>
      <c r="AI13" s="54"/>
      <c r="AJ13" s="54"/>
      <c r="AK13" s="54"/>
      <c r="AL13" s="54"/>
      <c r="AM13" s="54"/>
      <c r="AN13" s="54"/>
      <c r="AO13" s="54"/>
      <c r="AP13" s="54"/>
      <c r="AQ13" s="54"/>
      <c r="AR13" s="54"/>
      <c r="AS13" s="54"/>
      <c r="AT13" s="54"/>
      <c r="AU13" s="54"/>
      <c r="AV13" s="54"/>
      <c r="AW13" s="54"/>
      <c r="AX13" s="54"/>
      <c r="AY13" s="54"/>
      <c r="AZ13" s="54"/>
      <c r="BA13" s="54"/>
      <c r="BB13" s="54"/>
      <c r="BC13" s="54"/>
      <c r="BD13" s="54"/>
      <c r="BE13" s="55"/>
    </row>
    <row r="14" spans="1:58">
      <c r="A14" s="47"/>
      <c r="B14" s="47"/>
      <c r="C14" s="48"/>
      <c r="D14" s="48"/>
      <c r="E14" s="48"/>
      <c r="F14" s="48"/>
      <c r="G14" s="50"/>
      <c r="H14" s="51"/>
      <c r="I14" s="51"/>
      <c r="J14" s="51"/>
      <c r="K14" s="52"/>
      <c r="L14" s="49"/>
      <c r="M14" s="49"/>
      <c r="N14" s="49"/>
      <c r="O14" s="49"/>
      <c r="P14" s="49"/>
      <c r="Q14" s="49"/>
      <c r="R14" s="53"/>
      <c r="S14" s="54"/>
      <c r="T14" s="54"/>
      <c r="U14" s="54"/>
      <c r="V14" s="54"/>
      <c r="W14" s="55"/>
      <c r="X14" s="53"/>
      <c r="Y14" s="54"/>
      <c r="Z14" s="54"/>
      <c r="AA14" s="54"/>
      <c r="AB14" s="54"/>
      <c r="AC14" s="54"/>
      <c r="AD14" s="54"/>
      <c r="AE14" s="54"/>
      <c r="AF14" s="54"/>
      <c r="AG14" s="54"/>
      <c r="AH14" s="54"/>
      <c r="AI14" s="54"/>
      <c r="AJ14" s="54"/>
      <c r="AK14" s="54"/>
      <c r="AL14" s="54"/>
      <c r="AM14" s="54"/>
      <c r="AN14" s="54"/>
      <c r="AO14" s="54"/>
      <c r="AP14" s="54"/>
      <c r="AQ14" s="54"/>
      <c r="AR14" s="54"/>
      <c r="AS14" s="54"/>
      <c r="AT14" s="54"/>
      <c r="AU14" s="54"/>
      <c r="AV14" s="54"/>
      <c r="AW14" s="54"/>
      <c r="AX14" s="54"/>
      <c r="AY14" s="54"/>
      <c r="AZ14" s="54"/>
      <c r="BA14" s="54"/>
      <c r="BB14" s="54"/>
      <c r="BC14" s="54"/>
      <c r="BD14" s="54"/>
      <c r="BE14" s="55"/>
    </row>
    <row r="15" spans="1:58">
      <c r="A15" s="47"/>
      <c r="B15" s="47"/>
      <c r="C15" s="48"/>
      <c r="D15" s="48"/>
      <c r="E15" s="48"/>
      <c r="F15" s="48"/>
      <c r="G15" s="50"/>
      <c r="H15" s="51"/>
      <c r="I15" s="51"/>
      <c r="J15" s="51"/>
      <c r="K15" s="52"/>
      <c r="L15" s="49"/>
      <c r="M15" s="49"/>
      <c r="N15" s="49"/>
      <c r="O15" s="49"/>
      <c r="P15" s="49"/>
      <c r="Q15" s="49"/>
      <c r="R15" s="53"/>
      <c r="S15" s="54"/>
      <c r="T15" s="54"/>
      <c r="U15" s="54"/>
      <c r="V15" s="54"/>
      <c r="W15" s="55"/>
      <c r="X15" s="53"/>
      <c r="Y15" s="54"/>
      <c r="Z15" s="54"/>
      <c r="AA15" s="54"/>
      <c r="AB15" s="54"/>
      <c r="AC15" s="54"/>
      <c r="AD15" s="54"/>
      <c r="AE15" s="54"/>
      <c r="AF15" s="54"/>
      <c r="AG15" s="54"/>
      <c r="AH15" s="54"/>
      <c r="AI15" s="54"/>
      <c r="AJ15" s="54"/>
      <c r="AK15" s="54"/>
      <c r="AL15" s="54"/>
      <c r="AM15" s="54"/>
      <c r="AN15" s="54"/>
      <c r="AO15" s="54"/>
      <c r="AP15" s="54"/>
      <c r="AQ15" s="54"/>
      <c r="AR15" s="54"/>
      <c r="AS15" s="54"/>
      <c r="AT15" s="54"/>
      <c r="AU15" s="54"/>
      <c r="AV15" s="54"/>
      <c r="AW15" s="54"/>
      <c r="AX15" s="54"/>
      <c r="AY15" s="54"/>
      <c r="AZ15" s="54"/>
      <c r="BA15" s="54"/>
      <c r="BB15" s="54"/>
      <c r="BC15" s="54"/>
      <c r="BD15" s="54"/>
      <c r="BE15" s="55"/>
    </row>
    <row r="16" spans="1:58">
      <c r="A16" s="47"/>
      <c r="B16" s="47"/>
      <c r="C16" s="48"/>
      <c r="D16" s="48"/>
      <c r="E16" s="48"/>
      <c r="F16" s="48"/>
      <c r="G16" s="50"/>
      <c r="H16" s="51"/>
      <c r="I16" s="51"/>
      <c r="J16" s="51"/>
      <c r="K16" s="52"/>
      <c r="L16" s="49"/>
      <c r="M16" s="49"/>
      <c r="N16" s="49"/>
      <c r="O16" s="49"/>
      <c r="P16" s="49"/>
      <c r="Q16" s="49"/>
      <c r="R16" s="53"/>
      <c r="S16" s="54"/>
      <c r="T16" s="54"/>
      <c r="U16" s="54"/>
      <c r="V16" s="54"/>
      <c r="W16" s="55"/>
      <c r="X16" s="53"/>
      <c r="Y16" s="54"/>
      <c r="Z16" s="54"/>
      <c r="AA16" s="54"/>
      <c r="AB16" s="54"/>
      <c r="AC16" s="54"/>
      <c r="AD16" s="54"/>
      <c r="AE16" s="54"/>
      <c r="AF16" s="54"/>
      <c r="AG16" s="54"/>
      <c r="AH16" s="54"/>
      <c r="AI16" s="54"/>
      <c r="AJ16" s="54"/>
      <c r="AK16" s="54"/>
      <c r="AL16" s="54"/>
      <c r="AM16" s="54"/>
      <c r="AN16" s="54"/>
      <c r="AO16" s="54"/>
      <c r="AP16" s="54"/>
      <c r="AQ16" s="54"/>
      <c r="AR16" s="54"/>
      <c r="AS16" s="54"/>
      <c r="AT16" s="54"/>
      <c r="AU16" s="54"/>
      <c r="AV16" s="54"/>
      <c r="AW16" s="54"/>
      <c r="AX16" s="54"/>
      <c r="AY16" s="54"/>
      <c r="AZ16" s="54"/>
      <c r="BA16" s="54"/>
      <c r="BB16" s="54"/>
      <c r="BC16" s="54"/>
      <c r="BD16" s="54"/>
      <c r="BE16" s="55"/>
    </row>
    <row r="17" spans="1:57">
      <c r="A17" s="47"/>
      <c r="B17" s="47"/>
      <c r="C17" s="48"/>
      <c r="D17" s="48"/>
      <c r="E17" s="48"/>
      <c r="F17" s="48"/>
      <c r="G17" s="50"/>
      <c r="H17" s="51"/>
      <c r="I17" s="51"/>
      <c r="J17" s="51"/>
      <c r="K17" s="52"/>
      <c r="L17" s="49"/>
      <c r="M17" s="49"/>
      <c r="N17" s="49"/>
      <c r="O17" s="49"/>
      <c r="P17" s="49"/>
      <c r="Q17" s="49"/>
      <c r="R17" s="53"/>
      <c r="S17" s="54"/>
      <c r="T17" s="54"/>
      <c r="U17" s="54"/>
      <c r="V17" s="54"/>
      <c r="W17" s="55"/>
      <c r="X17" s="53"/>
      <c r="Y17" s="54"/>
      <c r="Z17" s="54"/>
      <c r="AA17" s="54"/>
      <c r="AB17" s="54"/>
      <c r="AC17" s="54"/>
      <c r="AD17" s="54"/>
      <c r="AE17" s="54"/>
      <c r="AF17" s="54"/>
      <c r="AG17" s="54"/>
      <c r="AH17" s="54"/>
      <c r="AI17" s="54"/>
      <c r="AJ17" s="54"/>
      <c r="AK17" s="54"/>
      <c r="AL17" s="54"/>
      <c r="AM17" s="54"/>
      <c r="AN17" s="54"/>
      <c r="AO17" s="54"/>
      <c r="AP17" s="54"/>
      <c r="AQ17" s="54"/>
      <c r="AR17" s="54"/>
      <c r="AS17" s="54"/>
      <c r="AT17" s="54"/>
      <c r="AU17" s="54"/>
      <c r="AV17" s="54"/>
      <c r="AW17" s="54"/>
      <c r="AX17" s="54"/>
      <c r="AY17" s="54"/>
      <c r="AZ17" s="54"/>
      <c r="BA17" s="54"/>
      <c r="BB17" s="54"/>
      <c r="BC17" s="54"/>
      <c r="BD17" s="54"/>
      <c r="BE17" s="55"/>
    </row>
    <row r="18" spans="1:57">
      <c r="A18" s="47"/>
      <c r="B18" s="47"/>
      <c r="C18" s="48"/>
      <c r="D18" s="48"/>
      <c r="E18" s="48"/>
      <c r="F18" s="48"/>
      <c r="G18" s="50"/>
      <c r="H18" s="51"/>
      <c r="I18" s="51"/>
      <c r="J18" s="51"/>
      <c r="K18" s="52"/>
      <c r="L18" s="49"/>
      <c r="M18" s="49"/>
      <c r="N18" s="49"/>
      <c r="O18" s="49"/>
      <c r="P18" s="49"/>
      <c r="Q18" s="49"/>
      <c r="R18" s="53"/>
      <c r="S18" s="54"/>
      <c r="T18" s="54"/>
      <c r="U18" s="54"/>
      <c r="V18" s="54"/>
      <c r="W18" s="55"/>
      <c r="X18" s="53"/>
      <c r="Y18" s="54"/>
      <c r="Z18" s="54"/>
      <c r="AA18" s="54"/>
      <c r="AB18" s="54"/>
      <c r="AC18" s="54"/>
      <c r="AD18" s="54"/>
      <c r="AE18" s="54"/>
      <c r="AF18" s="54"/>
      <c r="AG18" s="54"/>
      <c r="AH18" s="54"/>
      <c r="AI18" s="54"/>
      <c r="AJ18" s="54"/>
      <c r="AK18" s="54"/>
      <c r="AL18" s="54"/>
      <c r="AM18" s="54"/>
      <c r="AN18" s="54"/>
      <c r="AO18" s="54"/>
      <c r="AP18" s="54"/>
      <c r="AQ18" s="54"/>
      <c r="AR18" s="54"/>
      <c r="AS18" s="54"/>
      <c r="AT18" s="54"/>
      <c r="AU18" s="54"/>
      <c r="AV18" s="54"/>
      <c r="AW18" s="54"/>
      <c r="AX18" s="54"/>
      <c r="AY18" s="54"/>
      <c r="AZ18" s="54"/>
      <c r="BA18" s="54"/>
      <c r="BB18" s="54"/>
      <c r="BC18" s="54"/>
      <c r="BD18" s="54"/>
      <c r="BE18" s="55"/>
    </row>
    <row r="19" spans="1:57">
      <c r="A19" s="47"/>
      <c r="B19" s="47"/>
      <c r="C19" s="48"/>
      <c r="D19" s="48"/>
      <c r="E19" s="48"/>
      <c r="F19" s="48"/>
      <c r="G19" s="50"/>
      <c r="H19" s="51"/>
      <c r="I19" s="51"/>
      <c r="J19" s="51"/>
      <c r="K19" s="52"/>
      <c r="L19" s="49"/>
      <c r="M19" s="49"/>
      <c r="N19" s="49"/>
      <c r="O19" s="49"/>
      <c r="P19" s="49"/>
      <c r="Q19" s="49"/>
      <c r="R19" s="53"/>
      <c r="S19" s="54"/>
      <c r="T19" s="54"/>
      <c r="U19" s="54"/>
      <c r="V19" s="54"/>
      <c r="W19" s="55"/>
      <c r="X19" s="53"/>
      <c r="Y19" s="54"/>
      <c r="Z19" s="54"/>
      <c r="AA19" s="54"/>
      <c r="AB19" s="54"/>
      <c r="AC19" s="54"/>
      <c r="AD19" s="54"/>
      <c r="AE19" s="54"/>
      <c r="AF19" s="54"/>
      <c r="AG19" s="54"/>
      <c r="AH19" s="54"/>
      <c r="AI19" s="54"/>
      <c r="AJ19" s="54"/>
      <c r="AK19" s="54"/>
      <c r="AL19" s="54"/>
      <c r="AM19" s="54"/>
      <c r="AN19" s="54"/>
      <c r="AO19" s="54"/>
      <c r="AP19" s="54"/>
      <c r="AQ19" s="54"/>
      <c r="AR19" s="54"/>
      <c r="AS19" s="54"/>
      <c r="AT19" s="54"/>
      <c r="AU19" s="54"/>
      <c r="AV19" s="54"/>
      <c r="AW19" s="54"/>
      <c r="AX19" s="54"/>
      <c r="AY19" s="54"/>
      <c r="AZ19" s="54"/>
      <c r="BA19" s="54"/>
      <c r="BB19" s="54"/>
      <c r="BC19" s="54"/>
      <c r="BD19" s="54"/>
      <c r="BE19" s="55"/>
    </row>
    <row r="20" spans="1:57">
      <c r="A20" s="47"/>
      <c r="B20" s="47"/>
      <c r="C20" s="48"/>
      <c r="D20" s="48"/>
      <c r="E20" s="48"/>
      <c r="F20" s="48"/>
      <c r="G20" s="50"/>
      <c r="H20" s="51"/>
      <c r="I20" s="51"/>
      <c r="J20" s="51"/>
      <c r="K20" s="52"/>
      <c r="L20" s="49"/>
      <c r="M20" s="49"/>
      <c r="N20" s="49"/>
      <c r="O20" s="49"/>
      <c r="P20" s="49"/>
      <c r="Q20" s="49"/>
      <c r="R20" s="53"/>
      <c r="S20" s="54"/>
      <c r="T20" s="54"/>
      <c r="U20" s="54"/>
      <c r="V20" s="54"/>
      <c r="W20" s="55"/>
      <c r="X20" s="53"/>
      <c r="Y20" s="54"/>
      <c r="Z20" s="54"/>
      <c r="AA20" s="54"/>
      <c r="AB20" s="54"/>
      <c r="AC20" s="54"/>
      <c r="AD20" s="54"/>
      <c r="AE20" s="54"/>
      <c r="AF20" s="54"/>
      <c r="AG20" s="54"/>
      <c r="AH20" s="54"/>
      <c r="AI20" s="54"/>
      <c r="AJ20" s="54"/>
      <c r="AK20" s="54"/>
      <c r="AL20" s="54"/>
      <c r="AM20" s="54"/>
      <c r="AN20" s="54"/>
      <c r="AO20" s="54"/>
      <c r="AP20" s="54"/>
      <c r="AQ20" s="54"/>
      <c r="AR20" s="54"/>
      <c r="AS20" s="54"/>
      <c r="AT20" s="54"/>
      <c r="AU20" s="54"/>
      <c r="AV20" s="54"/>
      <c r="AW20" s="54"/>
      <c r="AX20" s="54"/>
      <c r="AY20" s="54"/>
      <c r="AZ20" s="54"/>
      <c r="BA20" s="54"/>
      <c r="BB20" s="54"/>
      <c r="BC20" s="54"/>
      <c r="BD20" s="54"/>
      <c r="BE20" s="55"/>
    </row>
    <row r="21" spans="1:57">
      <c r="A21" s="47"/>
      <c r="B21" s="47"/>
      <c r="C21" s="48"/>
      <c r="D21" s="48"/>
      <c r="E21" s="48"/>
      <c r="F21" s="48"/>
      <c r="G21" s="50"/>
      <c r="H21" s="51"/>
      <c r="I21" s="51"/>
      <c r="J21" s="51"/>
      <c r="K21" s="52"/>
      <c r="L21" s="49"/>
      <c r="M21" s="49"/>
      <c r="N21" s="49"/>
      <c r="O21" s="49"/>
      <c r="P21" s="49"/>
      <c r="Q21" s="49"/>
      <c r="R21" s="53"/>
      <c r="S21" s="54"/>
      <c r="T21" s="54"/>
      <c r="U21" s="54"/>
      <c r="V21" s="54"/>
      <c r="W21" s="55"/>
      <c r="X21" s="53"/>
      <c r="Y21" s="54"/>
      <c r="Z21" s="54"/>
      <c r="AA21" s="54"/>
      <c r="AB21" s="54"/>
      <c r="AC21" s="54"/>
      <c r="AD21" s="54"/>
      <c r="AE21" s="54"/>
      <c r="AF21" s="54"/>
      <c r="AG21" s="54"/>
      <c r="AH21" s="54"/>
      <c r="AI21" s="54"/>
      <c r="AJ21" s="54"/>
      <c r="AK21" s="54"/>
      <c r="AL21" s="54"/>
      <c r="AM21" s="54"/>
      <c r="AN21" s="54"/>
      <c r="AO21" s="54"/>
      <c r="AP21" s="54"/>
      <c r="AQ21" s="54"/>
      <c r="AR21" s="54"/>
      <c r="AS21" s="54"/>
      <c r="AT21" s="54"/>
      <c r="AU21" s="54"/>
      <c r="AV21" s="54"/>
      <c r="AW21" s="54"/>
      <c r="AX21" s="54"/>
      <c r="AY21" s="54"/>
      <c r="AZ21" s="54"/>
      <c r="BA21" s="54"/>
      <c r="BB21" s="54"/>
      <c r="BC21" s="54"/>
      <c r="BD21" s="54"/>
      <c r="BE21" s="55"/>
    </row>
    <row r="22" spans="1:57">
      <c r="A22" s="47"/>
      <c r="B22" s="47"/>
      <c r="C22" s="48"/>
      <c r="D22" s="48"/>
      <c r="E22" s="48"/>
      <c r="F22" s="48"/>
      <c r="G22" s="50"/>
      <c r="H22" s="51"/>
      <c r="I22" s="51"/>
      <c r="J22" s="51"/>
      <c r="K22" s="52"/>
      <c r="L22" s="49"/>
      <c r="M22" s="49"/>
      <c r="N22" s="49"/>
      <c r="O22" s="49"/>
      <c r="P22" s="49"/>
      <c r="Q22" s="49"/>
      <c r="R22" s="53"/>
      <c r="S22" s="54"/>
      <c r="T22" s="54"/>
      <c r="U22" s="54"/>
      <c r="V22" s="54"/>
      <c r="W22" s="55"/>
      <c r="X22" s="53"/>
      <c r="Y22" s="54"/>
      <c r="Z22" s="54"/>
      <c r="AA22" s="54"/>
      <c r="AB22" s="54"/>
      <c r="AC22" s="54"/>
      <c r="AD22" s="54"/>
      <c r="AE22" s="54"/>
      <c r="AF22" s="54"/>
      <c r="AG22" s="54"/>
      <c r="AH22" s="54"/>
      <c r="AI22" s="54"/>
      <c r="AJ22" s="54"/>
      <c r="AK22" s="54"/>
      <c r="AL22" s="54"/>
      <c r="AM22" s="54"/>
      <c r="AN22" s="54"/>
      <c r="AO22" s="54"/>
      <c r="AP22" s="54"/>
      <c r="AQ22" s="54"/>
      <c r="AR22" s="54"/>
      <c r="AS22" s="54"/>
      <c r="AT22" s="54"/>
      <c r="AU22" s="54"/>
      <c r="AV22" s="54"/>
      <c r="AW22" s="54"/>
      <c r="AX22" s="54"/>
      <c r="AY22" s="54"/>
      <c r="AZ22" s="54"/>
      <c r="BA22" s="54"/>
      <c r="BB22" s="54"/>
      <c r="BC22" s="54"/>
      <c r="BD22" s="54"/>
      <c r="BE22" s="55"/>
    </row>
    <row r="23" spans="1:57">
      <c r="A23" s="47"/>
      <c r="B23" s="47"/>
      <c r="C23" s="48"/>
      <c r="D23" s="48"/>
      <c r="E23" s="48"/>
      <c r="F23" s="48"/>
      <c r="G23" s="50"/>
      <c r="H23" s="51"/>
      <c r="I23" s="51"/>
      <c r="J23" s="51"/>
      <c r="K23" s="52"/>
      <c r="L23" s="49"/>
      <c r="M23" s="49"/>
      <c r="N23" s="49"/>
      <c r="O23" s="49"/>
      <c r="P23" s="49"/>
      <c r="Q23" s="49"/>
      <c r="R23" s="53"/>
      <c r="S23" s="54"/>
      <c r="T23" s="54"/>
      <c r="U23" s="54"/>
      <c r="V23" s="54"/>
      <c r="W23" s="55"/>
      <c r="X23" s="53"/>
      <c r="Y23" s="54"/>
      <c r="Z23" s="54"/>
      <c r="AA23" s="54"/>
      <c r="AB23" s="54"/>
      <c r="AC23" s="54"/>
      <c r="AD23" s="54"/>
      <c r="AE23" s="54"/>
      <c r="AF23" s="54"/>
      <c r="AG23" s="54"/>
      <c r="AH23" s="54"/>
      <c r="AI23" s="54"/>
      <c r="AJ23" s="54"/>
      <c r="AK23" s="54"/>
      <c r="AL23" s="54"/>
      <c r="AM23" s="54"/>
      <c r="AN23" s="54"/>
      <c r="AO23" s="54"/>
      <c r="AP23" s="54"/>
      <c r="AQ23" s="54"/>
      <c r="AR23" s="54"/>
      <c r="AS23" s="54"/>
      <c r="AT23" s="54"/>
      <c r="AU23" s="54"/>
      <c r="AV23" s="54"/>
      <c r="AW23" s="54"/>
      <c r="AX23" s="54"/>
      <c r="AY23" s="54"/>
      <c r="AZ23" s="54"/>
      <c r="BA23" s="54"/>
      <c r="BB23" s="54"/>
      <c r="BC23" s="54"/>
      <c r="BD23" s="54"/>
      <c r="BE23" s="55"/>
    </row>
    <row r="24" spans="1:57">
      <c r="A24" s="47"/>
      <c r="B24" s="47"/>
      <c r="C24" s="48"/>
      <c r="D24" s="48"/>
      <c r="E24" s="48"/>
      <c r="F24" s="48"/>
      <c r="G24" s="50"/>
      <c r="H24" s="51"/>
      <c r="I24" s="51"/>
      <c r="J24" s="51"/>
      <c r="K24" s="52"/>
      <c r="L24" s="49"/>
      <c r="M24" s="49"/>
      <c r="N24" s="49"/>
      <c r="O24" s="49"/>
      <c r="P24" s="49"/>
      <c r="Q24" s="49"/>
      <c r="R24" s="53"/>
      <c r="S24" s="54"/>
      <c r="T24" s="54"/>
      <c r="U24" s="54"/>
      <c r="V24" s="54"/>
      <c r="W24" s="55"/>
      <c r="X24" s="53"/>
      <c r="Y24" s="54"/>
      <c r="Z24" s="54"/>
      <c r="AA24" s="54"/>
      <c r="AB24" s="54"/>
      <c r="AC24" s="54"/>
      <c r="AD24" s="54"/>
      <c r="AE24" s="54"/>
      <c r="AF24" s="54"/>
      <c r="AG24" s="54"/>
      <c r="AH24" s="54"/>
      <c r="AI24" s="54"/>
      <c r="AJ24" s="54"/>
      <c r="AK24" s="54"/>
      <c r="AL24" s="54"/>
      <c r="AM24" s="54"/>
      <c r="AN24" s="54"/>
      <c r="AO24" s="54"/>
      <c r="AP24" s="54"/>
      <c r="AQ24" s="54"/>
      <c r="AR24" s="54"/>
      <c r="AS24" s="54"/>
      <c r="AT24" s="54"/>
      <c r="AU24" s="54"/>
      <c r="AV24" s="54"/>
      <c r="AW24" s="54"/>
      <c r="AX24" s="54"/>
      <c r="AY24" s="54"/>
      <c r="AZ24" s="54"/>
      <c r="BA24" s="54"/>
      <c r="BB24" s="54"/>
      <c r="BC24" s="54"/>
      <c r="BD24" s="54"/>
      <c r="BE24" s="55"/>
    </row>
    <row r="25" spans="1:57">
      <c r="A25" s="47"/>
      <c r="B25" s="47"/>
      <c r="C25" s="48"/>
      <c r="D25" s="48"/>
      <c r="E25" s="48"/>
      <c r="F25" s="48"/>
      <c r="G25" s="50"/>
      <c r="H25" s="51"/>
      <c r="I25" s="51"/>
      <c r="J25" s="51"/>
      <c r="K25" s="52"/>
      <c r="L25" s="49"/>
      <c r="M25" s="49"/>
      <c r="N25" s="49"/>
      <c r="O25" s="49"/>
      <c r="P25" s="49"/>
      <c r="Q25" s="49"/>
      <c r="R25" s="53"/>
      <c r="S25" s="54"/>
      <c r="T25" s="54"/>
      <c r="U25" s="54"/>
      <c r="V25" s="54"/>
      <c r="W25" s="55"/>
      <c r="X25" s="53"/>
      <c r="Y25" s="54"/>
      <c r="Z25" s="54"/>
      <c r="AA25" s="54"/>
      <c r="AB25" s="54"/>
      <c r="AC25" s="54"/>
      <c r="AD25" s="54"/>
      <c r="AE25" s="54"/>
      <c r="AF25" s="54"/>
      <c r="AG25" s="54"/>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5"/>
    </row>
    <row r="26" spans="1:57">
      <c r="A26" s="47"/>
      <c r="B26" s="47"/>
      <c r="C26" s="48"/>
      <c r="D26" s="48"/>
      <c r="E26" s="48"/>
      <c r="F26" s="48"/>
      <c r="G26" s="50"/>
      <c r="H26" s="51"/>
      <c r="I26" s="51"/>
      <c r="J26" s="51"/>
      <c r="K26" s="52"/>
      <c r="L26" s="49"/>
      <c r="M26" s="49"/>
      <c r="N26" s="49"/>
      <c r="O26" s="49"/>
      <c r="P26" s="49"/>
      <c r="Q26" s="49"/>
      <c r="R26" s="53"/>
      <c r="S26" s="54"/>
      <c r="T26" s="54"/>
      <c r="U26" s="54"/>
      <c r="V26" s="54"/>
      <c r="W26" s="55"/>
      <c r="X26" s="53"/>
      <c r="Y26" s="54"/>
      <c r="Z26" s="54"/>
      <c r="AA26" s="54"/>
      <c r="AB26" s="54"/>
      <c r="AC26" s="54"/>
      <c r="AD26" s="54"/>
      <c r="AE26" s="54"/>
      <c r="AF26" s="54"/>
      <c r="AG26" s="54"/>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5"/>
    </row>
    <row r="27" spans="1:57">
      <c r="A27" s="47"/>
      <c r="B27" s="47"/>
      <c r="C27" s="48"/>
      <c r="D27" s="48"/>
      <c r="E27" s="48"/>
      <c r="F27" s="48"/>
      <c r="G27" s="50"/>
      <c r="H27" s="51"/>
      <c r="I27" s="51"/>
      <c r="J27" s="51"/>
      <c r="K27" s="52"/>
      <c r="L27" s="49"/>
      <c r="M27" s="49"/>
      <c r="N27" s="49"/>
      <c r="O27" s="49"/>
      <c r="P27" s="49"/>
      <c r="Q27" s="49"/>
      <c r="R27" s="53"/>
      <c r="S27" s="54"/>
      <c r="T27" s="54"/>
      <c r="U27" s="54"/>
      <c r="V27" s="54"/>
      <c r="W27" s="55"/>
      <c r="X27" s="53"/>
      <c r="Y27" s="54"/>
      <c r="Z27" s="54"/>
      <c r="AA27" s="54"/>
      <c r="AB27" s="54"/>
      <c r="AC27" s="54"/>
      <c r="AD27" s="54"/>
      <c r="AE27" s="54"/>
      <c r="AF27" s="54"/>
      <c r="AG27" s="54"/>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5"/>
    </row>
    <row r="28" spans="1:57">
      <c r="A28" s="47"/>
      <c r="B28" s="47"/>
      <c r="C28" s="48"/>
      <c r="D28" s="48"/>
      <c r="E28" s="48"/>
      <c r="F28" s="48"/>
      <c r="G28" s="50"/>
      <c r="H28" s="51"/>
      <c r="I28" s="51"/>
      <c r="J28" s="51"/>
      <c r="K28" s="52"/>
      <c r="L28" s="49"/>
      <c r="M28" s="49"/>
      <c r="N28" s="49"/>
      <c r="O28" s="49"/>
      <c r="P28" s="49"/>
      <c r="Q28" s="49"/>
      <c r="R28" s="53"/>
      <c r="S28" s="54"/>
      <c r="T28" s="54"/>
      <c r="U28" s="54"/>
      <c r="V28" s="54"/>
      <c r="W28" s="55"/>
      <c r="X28" s="53"/>
      <c r="Y28" s="54"/>
      <c r="Z28" s="54"/>
      <c r="AA28" s="54"/>
      <c r="AB28" s="54"/>
      <c r="AC28" s="54"/>
      <c r="AD28" s="54"/>
      <c r="AE28" s="54"/>
      <c r="AF28" s="54"/>
      <c r="AG28" s="54"/>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5"/>
    </row>
    <row r="29" spans="1:57">
      <c r="A29" s="47"/>
      <c r="B29" s="47"/>
      <c r="C29" s="48"/>
      <c r="D29" s="48"/>
      <c r="E29" s="48"/>
      <c r="F29" s="48"/>
      <c r="G29" s="50"/>
      <c r="H29" s="51"/>
      <c r="I29" s="51"/>
      <c r="J29" s="51"/>
      <c r="K29" s="52"/>
      <c r="L29" s="49"/>
      <c r="M29" s="49"/>
      <c r="N29" s="49"/>
      <c r="O29" s="49"/>
      <c r="P29" s="49"/>
      <c r="Q29" s="49"/>
      <c r="R29" s="53"/>
      <c r="S29" s="54"/>
      <c r="T29" s="54"/>
      <c r="U29" s="54"/>
      <c r="V29" s="54"/>
      <c r="W29" s="55"/>
      <c r="X29" s="53"/>
      <c r="Y29" s="54"/>
      <c r="Z29" s="54"/>
      <c r="AA29" s="54"/>
      <c r="AB29" s="54"/>
      <c r="AC29" s="54"/>
      <c r="AD29" s="54"/>
      <c r="AE29" s="54"/>
      <c r="AF29" s="54"/>
      <c r="AG29" s="54"/>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5"/>
    </row>
    <row r="30" spans="1:57">
      <c r="A30" s="47"/>
      <c r="B30" s="47"/>
      <c r="C30" s="48"/>
      <c r="D30" s="48"/>
      <c r="E30" s="48"/>
      <c r="F30" s="48"/>
      <c r="G30" s="50"/>
      <c r="H30" s="51"/>
      <c r="I30" s="51"/>
      <c r="J30" s="51"/>
      <c r="K30" s="52"/>
      <c r="L30" s="49"/>
      <c r="M30" s="49"/>
      <c r="N30" s="49"/>
      <c r="O30" s="49"/>
      <c r="P30" s="49"/>
      <c r="Q30" s="49"/>
      <c r="R30" s="53"/>
      <c r="S30" s="54"/>
      <c r="T30" s="54"/>
      <c r="U30" s="54"/>
      <c r="V30" s="54"/>
      <c r="W30" s="55"/>
      <c r="X30" s="53"/>
      <c r="Y30" s="54"/>
      <c r="Z30" s="54"/>
      <c r="AA30" s="54"/>
      <c r="AB30" s="54"/>
      <c r="AC30" s="54"/>
      <c r="AD30" s="54"/>
      <c r="AE30" s="54"/>
      <c r="AF30" s="54"/>
      <c r="AG30" s="54"/>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5"/>
    </row>
    <row r="31" spans="1:57">
      <c r="A31" s="47"/>
      <c r="B31" s="47"/>
      <c r="C31" s="48"/>
      <c r="D31" s="48"/>
      <c r="E31" s="48"/>
      <c r="F31" s="48"/>
      <c r="G31" s="50"/>
      <c r="H31" s="51"/>
      <c r="I31" s="51"/>
      <c r="J31" s="51"/>
      <c r="K31" s="52"/>
      <c r="L31" s="49"/>
      <c r="M31" s="49"/>
      <c r="N31" s="49"/>
      <c r="O31" s="49"/>
      <c r="P31" s="49"/>
      <c r="Q31" s="49"/>
      <c r="R31" s="53"/>
      <c r="S31" s="54"/>
      <c r="T31" s="54"/>
      <c r="U31" s="54"/>
      <c r="V31" s="54"/>
      <c r="W31" s="55"/>
      <c r="X31" s="53"/>
      <c r="Y31" s="54"/>
      <c r="Z31" s="54"/>
      <c r="AA31" s="54"/>
      <c r="AB31" s="54"/>
      <c r="AC31" s="54"/>
      <c r="AD31" s="54"/>
      <c r="AE31" s="54"/>
      <c r="AF31" s="54"/>
      <c r="AG31" s="54"/>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5"/>
    </row>
    <row r="32" spans="1:57">
      <c r="A32" s="47"/>
      <c r="B32" s="47"/>
      <c r="C32" s="48"/>
      <c r="D32" s="48"/>
      <c r="E32" s="48"/>
      <c r="F32" s="48"/>
      <c r="G32" s="50"/>
      <c r="H32" s="51"/>
      <c r="I32" s="51"/>
      <c r="J32" s="51"/>
      <c r="K32" s="52"/>
      <c r="L32" s="49"/>
      <c r="M32" s="49"/>
      <c r="N32" s="49"/>
      <c r="O32" s="49"/>
      <c r="P32" s="49"/>
      <c r="Q32" s="49"/>
      <c r="R32" s="53"/>
      <c r="S32" s="54"/>
      <c r="T32" s="54"/>
      <c r="U32" s="54"/>
      <c r="V32" s="54"/>
      <c r="W32" s="55"/>
      <c r="X32" s="53"/>
      <c r="Y32" s="54"/>
      <c r="Z32" s="54"/>
      <c r="AA32" s="54"/>
      <c r="AB32" s="54"/>
      <c r="AC32" s="54"/>
      <c r="AD32" s="54"/>
      <c r="AE32" s="54"/>
      <c r="AF32" s="54"/>
      <c r="AG32" s="54"/>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5"/>
    </row>
    <row r="33" spans="1:57">
      <c r="A33" s="47"/>
      <c r="B33" s="47"/>
      <c r="C33" s="48"/>
      <c r="D33" s="48"/>
      <c r="E33" s="48"/>
      <c r="F33" s="48"/>
      <c r="G33" s="50"/>
      <c r="H33" s="51"/>
      <c r="I33" s="51"/>
      <c r="J33" s="51"/>
      <c r="K33" s="52"/>
      <c r="L33" s="49"/>
      <c r="M33" s="49"/>
      <c r="N33" s="49"/>
      <c r="O33" s="49"/>
      <c r="P33" s="49"/>
      <c r="Q33" s="49"/>
      <c r="R33" s="53"/>
      <c r="S33" s="54"/>
      <c r="T33" s="54"/>
      <c r="U33" s="54"/>
      <c r="V33" s="54"/>
      <c r="W33" s="55"/>
      <c r="X33" s="53"/>
      <c r="Y33" s="54"/>
      <c r="Z33" s="54"/>
      <c r="AA33" s="54"/>
      <c r="AB33" s="54"/>
      <c r="AC33" s="54"/>
      <c r="AD33" s="54"/>
      <c r="AE33" s="54"/>
      <c r="AF33" s="54"/>
      <c r="AG33" s="54"/>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5"/>
    </row>
    <row r="34" spans="1:57">
      <c r="A34" s="47"/>
      <c r="B34" s="47"/>
      <c r="C34" s="48"/>
      <c r="D34" s="48"/>
      <c r="E34" s="48"/>
      <c r="F34" s="48"/>
      <c r="G34" s="50"/>
      <c r="H34" s="51"/>
      <c r="I34" s="51"/>
      <c r="J34" s="51"/>
      <c r="K34" s="52"/>
      <c r="L34" s="49"/>
      <c r="M34" s="49"/>
      <c r="N34" s="49"/>
      <c r="O34" s="49"/>
      <c r="P34" s="49"/>
      <c r="Q34" s="49"/>
      <c r="R34" s="53"/>
      <c r="S34" s="54"/>
      <c r="T34" s="54"/>
      <c r="U34" s="54"/>
      <c r="V34" s="54"/>
      <c r="W34" s="55"/>
      <c r="X34" s="53"/>
      <c r="Y34" s="54"/>
      <c r="Z34" s="54"/>
      <c r="AA34" s="54"/>
      <c r="AB34" s="54"/>
      <c r="AC34" s="54"/>
      <c r="AD34" s="54"/>
      <c r="AE34" s="54"/>
      <c r="AF34" s="54"/>
      <c r="AG34" s="5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5"/>
    </row>
    <row r="35" spans="1:57">
      <c r="A35" s="47"/>
      <c r="B35" s="47"/>
      <c r="C35" s="48"/>
      <c r="D35" s="48"/>
      <c r="E35" s="48"/>
      <c r="F35" s="48"/>
      <c r="G35" s="50"/>
      <c r="H35" s="51"/>
      <c r="I35" s="51"/>
      <c r="J35" s="51"/>
      <c r="K35" s="52"/>
      <c r="L35" s="49"/>
      <c r="M35" s="49"/>
      <c r="N35" s="49"/>
      <c r="O35" s="49"/>
      <c r="P35" s="49"/>
      <c r="Q35" s="49"/>
      <c r="R35" s="53"/>
      <c r="S35" s="54"/>
      <c r="T35" s="54"/>
      <c r="U35" s="54"/>
      <c r="V35" s="54"/>
      <c r="W35" s="55"/>
      <c r="X35" s="53"/>
      <c r="Y35" s="54"/>
      <c r="Z35" s="54"/>
      <c r="AA35" s="54"/>
      <c r="AB35" s="54"/>
      <c r="AC35" s="54"/>
      <c r="AD35" s="54"/>
      <c r="AE35" s="54"/>
      <c r="AF35" s="54"/>
      <c r="AG35" s="5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5"/>
    </row>
    <row r="36" spans="1:57">
      <c r="A36" s="47"/>
      <c r="B36" s="47"/>
      <c r="C36" s="48"/>
      <c r="D36" s="48"/>
      <c r="E36" s="48"/>
      <c r="F36" s="48"/>
      <c r="G36" s="50"/>
      <c r="H36" s="51"/>
      <c r="I36" s="51"/>
      <c r="J36" s="51"/>
      <c r="K36" s="52"/>
      <c r="L36" s="49"/>
      <c r="M36" s="49"/>
      <c r="N36" s="49"/>
      <c r="O36" s="49"/>
      <c r="P36" s="49"/>
      <c r="Q36" s="49"/>
      <c r="R36" s="53"/>
      <c r="S36" s="54"/>
      <c r="T36" s="54"/>
      <c r="U36" s="54"/>
      <c r="V36" s="54"/>
      <c r="W36" s="55"/>
      <c r="X36" s="53"/>
      <c r="Y36" s="54"/>
      <c r="Z36" s="54"/>
      <c r="AA36" s="54"/>
      <c r="AB36" s="54"/>
      <c r="AC36" s="54"/>
      <c r="AD36" s="54"/>
      <c r="AE36" s="54"/>
      <c r="AF36" s="54"/>
      <c r="AG36" s="5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5"/>
    </row>
    <row r="37" spans="1:57">
      <c r="A37" s="47"/>
      <c r="B37" s="47"/>
      <c r="C37" s="48"/>
      <c r="D37" s="48"/>
      <c r="E37" s="48"/>
      <c r="F37" s="48"/>
      <c r="G37" s="50"/>
      <c r="H37" s="51"/>
      <c r="I37" s="51"/>
      <c r="J37" s="51"/>
      <c r="K37" s="52"/>
      <c r="L37" s="49"/>
      <c r="M37" s="49"/>
      <c r="N37" s="49"/>
      <c r="O37" s="49"/>
      <c r="P37" s="49"/>
      <c r="Q37" s="49"/>
      <c r="R37" s="53"/>
      <c r="S37" s="54"/>
      <c r="T37" s="54"/>
      <c r="U37" s="54"/>
      <c r="V37" s="54"/>
      <c r="W37" s="55"/>
      <c r="X37" s="53"/>
      <c r="Y37" s="54"/>
      <c r="Z37" s="54"/>
      <c r="AA37" s="54"/>
      <c r="AB37" s="54"/>
      <c r="AC37" s="54"/>
      <c r="AD37" s="54"/>
      <c r="AE37" s="54"/>
      <c r="AF37" s="54"/>
      <c r="AG37" s="5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5"/>
    </row>
    <row r="38" spans="1:57">
      <c r="A38" s="47"/>
      <c r="B38" s="47"/>
      <c r="C38" s="48"/>
      <c r="D38" s="48"/>
      <c r="E38" s="48"/>
      <c r="F38" s="48"/>
      <c r="G38" s="50"/>
      <c r="H38" s="51"/>
      <c r="I38" s="51"/>
      <c r="J38" s="51"/>
      <c r="K38" s="52"/>
      <c r="L38" s="49"/>
      <c r="M38" s="49"/>
      <c r="N38" s="49"/>
      <c r="O38" s="49"/>
      <c r="P38" s="49"/>
      <c r="Q38" s="49"/>
      <c r="R38" s="53"/>
      <c r="S38" s="54"/>
      <c r="T38" s="54"/>
      <c r="U38" s="54"/>
      <c r="V38" s="54"/>
      <c r="W38" s="55"/>
      <c r="X38" s="53"/>
      <c r="Y38" s="54"/>
      <c r="Z38" s="54"/>
      <c r="AA38" s="54"/>
      <c r="AB38" s="54"/>
      <c r="AC38" s="54"/>
      <c r="AD38" s="54"/>
      <c r="AE38" s="54"/>
      <c r="AF38" s="54"/>
      <c r="AG38" s="5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5"/>
    </row>
    <row r="39" spans="1:57">
      <c r="A39" s="47"/>
      <c r="B39" s="47"/>
      <c r="C39" s="48"/>
      <c r="D39" s="48"/>
      <c r="E39" s="48"/>
      <c r="F39" s="48"/>
      <c r="G39" s="50"/>
      <c r="H39" s="51"/>
      <c r="I39" s="51"/>
      <c r="J39" s="51"/>
      <c r="K39" s="52"/>
      <c r="L39" s="49"/>
      <c r="M39" s="49"/>
      <c r="N39" s="49"/>
      <c r="O39" s="49"/>
      <c r="P39" s="49"/>
      <c r="Q39" s="49"/>
      <c r="R39" s="53"/>
      <c r="S39" s="54"/>
      <c r="T39" s="54"/>
      <c r="U39" s="54"/>
      <c r="V39" s="54"/>
      <c r="W39" s="55"/>
      <c r="X39" s="53"/>
      <c r="Y39" s="54"/>
      <c r="Z39" s="54"/>
      <c r="AA39" s="54"/>
      <c r="AB39" s="54"/>
      <c r="AC39" s="54"/>
      <c r="AD39" s="54"/>
      <c r="AE39" s="54"/>
      <c r="AF39" s="54"/>
      <c r="AG39" s="5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5"/>
    </row>
    <row r="40" spans="1:57">
      <c r="A40" s="47"/>
      <c r="B40" s="47"/>
      <c r="C40" s="48"/>
      <c r="D40" s="48"/>
      <c r="E40" s="48"/>
      <c r="F40" s="48"/>
      <c r="G40" s="50"/>
      <c r="H40" s="51"/>
      <c r="I40" s="51"/>
      <c r="J40" s="51"/>
      <c r="K40" s="52"/>
      <c r="L40" s="49"/>
      <c r="M40" s="49"/>
      <c r="N40" s="49"/>
      <c r="O40" s="49"/>
      <c r="P40" s="49"/>
      <c r="Q40" s="49"/>
      <c r="R40" s="53"/>
      <c r="S40" s="54"/>
      <c r="T40" s="54"/>
      <c r="U40" s="54"/>
      <c r="V40" s="54"/>
      <c r="W40" s="55"/>
      <c r="X40" s="53"/>
      <c r="Y40" s="54"/>
      <c r="Z40" s="54"/>
      <c r="AA40" s="54"/>
      <c r="AB40" s="54"/>
      <c r="AC40" s="54"/>
      <c r="AD40" s="54"/>
      <c r="AE40" s="54"/>
      <c r="AF40" s="54"/>
      <c r="AG40" s="54"/>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5"/>
    </row>
    <row r="41" spans="1:57">
      <c r="A41" s="47"/>
      <c r="B41" s="47"/>
      <c r="C41" s="48"/>
      <c r="D41" s="48"/>
      <c r="E41" s="48"/>
      <c r="F41" s="48"/>
      <c r="G41" s="50"/>
      <c r="H41" s="51"/>
      <c r="I41" s="51"/>
      <c r="J41" s="51"/>
      <c r="K41" s="52"/>
      <c r="L41" s="49"/>
      <c r="M41" s="49"/>
      <c r="N41" s="49"/>
      <c r="O41" s="49"/>
      <c r="P41" s="49"/>
      <c r="Q41" s="49"/>
      <c r="R41" s="53"/>
      <c r="S41" s="54"/>
      <c r="T41" s="54"/>
      <c r="U41" s="54"/>
      <c r="V41" s="54"/>
      <c r="W41" s="55"/>
      <c r="X41" s="53"/>
      <c r="Y41" s="54"/>
      <c r="Z41" s="54"/>
      <c r="AA41" s="54"/>
      <c r="AB41" s="54"/>
      <c r="AC41" s="54"/>
      <c r="AD41" s="54"/>
      <c r="AE41" s="54"/>
      <c r="AF41" s="54"/>
      <c r="AG41" s="54"/>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5"/>
    </row>
    <row r="42" spans="1:57">
      <c r="A42" s="47"/>
      <c r="B42" s="47"/>
      <c r="C42" s="48"/>
      <c r="D42" s="48"/>
      <c r="E42" s="48"/>
      <c r="F42" s="48"/>
      <c r="G42" s="50"/>
      <c r="H42" s="51"/>
      <c r="I42" s="51"/>
      <c r="J42" s="51"/>
      <c r="K42" s="52"/>
      <c r="L42" s="49"/>
      <c r="M42" s="49"/>
      <c r="N42" s="49"/>
      <c r="O42" s="49"/>
      <c r="P42" s="49"/>
      <c r="Q42" s="49"/>
      <c r="R42" s="53"/>
      <c r="S42" s="54"/>
      <c r="T42" s="54"/>
      <c r="U42" s="54"/>
      <c r="V42" s="54"/>
      <c r="W42" s="55"/>
      <c r="X42" s="53"/>
      <c r="Y42" s="54"/>
      <c r="Z42" s="54"/>
      <c r="AA42" s="54"/>
      <c r="AB42" s="54"/>
      <c r="AC42" s="54"/>
      <c r="AD42" s="54"/>
      <c r="AE42" s="54"/>
      <c r="AF42" s="54"/>
      <c r="AG42" s="54"/>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5"/>
    </row>
    <row r="43" spans="1:57">
      <c r="A43" s="47"/>
      <c r="B43" s="47"/>
      <c r="C43" s="48"/>
      <c r="D43" s="48"/>
      <c r="E43" s="48"/>
      <c r="F43" s="48"/>
      <c r="G43" s="50"/>
      <c r="H43" s="51"/>
      <c r="I43" s="51"/>
      <c r="J43" s="51"/>
      <c r="K43" s="52"/>
      <c r="L43" s="49"/>
      <c r="M43" s="49"/>
      <c r="N43" s="49"/>
      <c r="O43" s="49"/>
      <c r="P43" s="49"/>
      <c r="Q43" s="49"/>
      <c r="R43" s="53"/>
      <c r="S43" s="54"/>
      <c r="T43" s="54"/>
      <c r="U43" s="54"/>
      <c r="V43" s="54"/>
      <c r="W43" s="55"/>
      <c r="X43" s="53"/>
      <c r="Y43" s="54"/>
      <c r="Z43" s="54"/>
      <c r="AA43" s="54"/>
      <c r="AB43" s="54"/>
      <c r="AC43" s="54"/>
      <c r="AD43" s="54"/>
      <c r="AE43" s="54"/>
      <c r="AF43" s="54"/>
      <c r="AG43" s="54"/>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5"/>
    </row>
    <row r="44" spans="1:57">
      <c r="A44" s="47"/>
      <c r="B44" s="47"/>
      <c r="C44" s="48"/>
      <c r="D44" s="48"/>
      <c r="E44" s="48"/>
      <c r="F44" s="48"/>
      <c r="G44" s="50"/>
      <c r="H44" s="51"/>
      <c r="I44" s="51"/>
      <c r="J44" s="51"/>
      <c r="K44" s="52"/>
      <c r="L44" s="49"/>
      <c r="M44" s="49"/>
      <c r="N44" s="49"/>
      <c r="O44" s="49"/>
      <c r="P44" s="49"/>
      <c r="Q44" s="49"/>
      <c r="R44" s="53"/>
      <c r="S44" s="54"/>
      <c r="T44" s="54"/>
      <c r="U44" s="54"/>
      <c r="V44" s="54"/>
      <c r="W44" s="55"/>
      <c r="X44" s="53"/>
      <c r="Y44" s="54"/>
      <c r="Z44" s="54"/>
      <c r="AA44" s="54"/>
      <c r="AB44" s="54"/>
      <c r="AC44" s="54"/>
      <c r="AD44" s="54"/>
      <c r="AE44" s="54"/>
      <c r="AF44" s="54"/>
      <c r="AG44" s="54"/>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5"/>
    </row>
    <row r="45" spans="1:57">
      <c r="A45" s="47"/>
      <c r="B45" s="47"/>
      <c r="C45" s="48"/>
      <c r="D45" s="48"/>
      <c r="E45" s="48"/>
      <c r="F45" s="48"/>
      <c r="G45" s="50"/>
      <c r="H45" s="51"/>
      <c r="I45" s="51"/>
      <c r="J45" s="51"/>
      <c r="K45" s="52"/>
      <c r="L45" s="49"/>
      <c r="M45" s="49"/>
      <c r="N45" s="49"/>
      <c r="O45" s="49"/>
      <c r="P45" s="49"/>
      <c r="Q45" s="49"/>
      <c r="R45" s="53"/>
      <c r="S45" s="54"/>
      <c r="T45" s="54"/>
      <c r="U45" s="54"/>
      <c r="V45" s="54"/>
      <c r="W45" s="55"/>
      <c r="X45" s="53"/>
      <c r="Y45" s="54"/>
      <c r="Z45" s="54"/>
      <c r="AA45" s="54"/>
      <c r="AB45" s="54"/>
      <c r="AC45" s="54"/>
      <c r="AD45" s="54"/>
      <c r="AE45" s="54"/>
      <c r="AF45" s="54"/>
      <c r="AG45" s="54"/>
      <c r="AH45" s="54"/>
      <c r="AI45" s="54"/>
      <c r="AJ45" s="54"/>
      <c r="AK45" s="54"/>
      <c r="AL45" s="54"/>
      <c r="AM45" s="54"/>
      <c r="AN45" s="54"/>
      <c r="AO45" s="54"/>
      <c r="AP45" s="54"/>
      <c r="AQ45" s="54"/>
      <c r="AR45" s="54"/>
      <c r="AS45" s="54"/>
      <c r="AT45" s="54"/>
      <c r="AU45" s="54"/>
      <c r="AV45" s="54"/>
      <c r="AW45" s="54"/>
      <c r="AX45" s="54"/>
      <c r="AY45" s="54"/>
      <c r="AZ45" s="54"/>
      <c r="BA45" s="54"/>
      <c r="BB45" s="54"/>
      <c r="BC45" s="54"/>
      <c r="BD45" s="54"/>
      <c r="BE45" s="55"/>
    </row>
    <row r="46" spans="1:57">
      <c r="A46" s="47"/>
      <c r="B46" s="47"/>
      <c r="C46" s="48"/>
      <c r="D46" s="48"/>
      <c r="E46" s="48"/>
      <c r="F46" s="48"/>
      <c r="G46" s="50"/>
      <c r="H46" s="51"/>
      <c r="I46" s="51"/>
      <c r="J46" s="51"/>
      <c r="K46" s="52"/>
      <c r="L46" s="49"/>
      <c r="M46" s="49"/>
      <c r="N46" s="49"/>
      <c r="O46" s="49"/>
      <c r="P46" s="49"/>
      <c r="Q46" s="49"/>
      <c r="R46" s="53"/>
      <c r="S46" s="54"/>
      <c r="T46" s="54"/>
      <c r="U46" s="54"/>
      <c r="V46" s="54"/>
      <c r="W46" s="55"/>
      <c r="X46" s="53"/>
      <c r="Y46" s="54"/>
      <c r="Z46" s="54"/>
      <c r="AA46" s="54"/>
      <c r="AB46" s="54"/>
      <c r="AC46" s="54"/>
      <c r="AD46" s="54"/>
      <c r="AE46" s="54"/>
      <c r="AF46" s="54"/>
      <c r="AG46" s="54"/>
      <c r="AH46" s="54"/>
      <c r="AI46" s="54"/>
      <c r="AJ46" s="54"/>
      <c r="AK46" s="54"/>
      <c r="AL46" s="54"/>
      <c r="AM46" s="54"/>
      <c r="AN46" s="54"/>
      <c r="AO46" s="54"/>
      <c r="AP46" s="54"/>
      <c r="AQ46" s="54"/>
      <c r="AR46" s="54"/>
      <c r="AS46" s="54"/>
      <c r="AT46" s="54"/>
      <c r="AU46" s="54"/>
      <c r="AV46" s="54"/>
      <c r="AW46" s="54"/>
      <c r="AX46" s="54"/>
      <c r="AY46" s="54"/>
      <c r="AZ46" s="54"/>
      <c r="BA46" s="54"/>
      <c r="BB46" s="54"/>
      <c r="BC46" s="54"/>
      <c r="BD46" s="54"/>
      <c r="BE46" s="55"/>
    </row>
    <row r="47" spans="1:57">
      <c r="A47" s="47"/>
      <c r="B47" s="47"/>
      <c r="C47" s="48"/>
      <c r="D47" s="48"/>
      <c r="E47" s="48"/>
      <c r="F47" s="48"/>
      <c r="G47" s="50"/>
      <c r="H47" s="51"/>
      <c r="I47" s="51"/>
      <c r="J47" s="51"/>
      <c r="K47" s="52"/>
      <c r="L47" s="49"/>
      <c r="M47" s="49"/>
      <c r="N47" s="49"/>
      <c r="O47" s="49"/>
      <c r="P47" s="49"/>
      <c r="Q47" s="49"/>
      <c r="R47" s="53"/>
      <c r="S47" s="54"/>
      <c r="T47" s="54"/>
      <c r="U47" s="54"/>
      <c r="V47" s="54"/>
      <c r="W47" s="55"/>
      <c r="X47" s="53"/>
      <c r="Y47" s="54"/>
      <c r="Z47" s="54"/>
      <c r="AA47" s="54"/>
      <c r="AB47" s="54"/>
      <c r="AC47" s="54"/>
      <c r="AD47" s="54"/>
      <c r="AE47" s="54"/>
      <c r="AF47" s="54"/>
      <c r="AG47" s="54"/>
      <c r="AH47" s="54"/>
      <c r="AI47" s="54"/>
      <c r="AJ47" s="54"/>
      <c r="AK47" s="54"/>
      <c r="AL47" s="54"/>
      <c r="AM47" s="54"/>
      <c r="AN47" s="54"/>
      <c r="AO47" s="54"/>
      <c r="AP47" s="54"/>
      <c r="AQ47" s="54"/>
      <c r="AR47" s="54"/>
      <c r="AS47" s="54"/>
      <c r="AT47" s="54"/>
      <c r="AU47" s="54"/>
      <c r="AV47" s="54"/>
      <c r="AW47" s="54"/>
      <c r="AX47" s="54"/>
      <c r="AY47" s="54"/>
      <c r="AZ47" s="54"/>
      <c r="BA47" s="54"/>
      <c r="BB47" s="54"/>
      <c r="BC47" s="54"/>
      <c r="BD47" s="54"/>
      <c r="BE47" s="55"/>
    </row>
    <row r="48" spans="1:57">
      <c r="A48" s="47"/>
      <c r="B48" s="47"/>
      <c r="C48" s="48"/>
      <c r="D48" s="48"/>
      <c r="E48" s="48"/>
      <c r="F48" s="48"/>
      <c r="G48" s="50"/>
      <c r="H48" s="51"/>
      <c r="I48" s="51"/>
      <c r="J48" s="51"/>
      <c r="K48" s="52"/>
      <c r="L48" s="49"/>
      <c r="M48" s="49"/>
      <c r="N48" s="49"/>
      <c r="O48" s="49"/>
      <c r="P48" s="49"/>
      <c r="Q48" s="49"/>
      <c r="R48" s="53"/>
      <c r="S48" s="54"/>
      <c r="T48" s="54"/>
      <c r="U48" s="54"/>
      <c r="V48" s="54"/>
      <c r="W48" s="55"/>
      <c r="X48" s="53"/>
      <c r="Y48" s="54"/>
      <c r="Z48" s="54"/>
      <c r="AA48" s="54"/>
      <c r="AB48" s="54"/>
      <c r="AC48" s="54"/>
      <c r="AD48" s="54"/>
      <c r="AE48" s="54"/>
      <c r="AF48" s="54"/>
      <c r="AG48" s="54"/>
      <c r="AH48" s="54"/>
      <c r="AI48" s="54"/>
      <c r="AJ48" s="54"/>
      <c r="AK48" s="54"/>
      <c r="AL48" s="54"/>
      <c r="AM48" s="54"/>
      <c r="AN48" s="54"/>
      <c r="AO48" s="54"/>
      <c r="AP48" s="54"/>
      <c r="AQ48" s="54"/>
      <c r="AR48" s="54"/>
      <c r="AS48" s="54"/>
      <c r="AT48" s="54"/>
      <c r="AU48" s="54"/>
      <c r="AV48" s="54"/>
      <c r="AW48" s="54"/>
      <c r="AX48" s="54"/>
      <c r="AY48" s="54"/>
      <c r="AZ48" s="54"/>
      <c r="BA48" s="54"/>
      <c r="BB48" s="54"/>
      <c r="BC48" s="54"/>
      <c r="BD48" s="54"/>
      <c r="BE48" s="55"/>
    </row>
    <row r="49" spans="1:57">
      <c r="A49" s="47"/>
      <c r="B49" s="47"/>
      <c r="C49" s="48"/>
      <c r="D49" s="48"/>
      <c r="E49" s="48"/>
      <c r="F49" s="48"/>
      <c r="G49" s="50"/>
      <c r="H49" s="51"/>
      <c r="I49" s="51"/>
      <c r="J49" s="51"/>
      <c r="K49" s="52"/>
      <c r="L49" s="49"/>
      <c r="M49" s="49"/>
      <c r="N49" s="49"/>
      <c r="O49" s="49"/>
      <c r="P49" s="49"/>
      <c r="Q49" s="49"/>
      <c r="R49" s="53"/>
      <c r="S49" s="54"/>
      <c r="T49" s="54"/>
      <c r="U49" s="54"/>
      <c r="V49" s="54"/>
      <c r="W49" s="55"/>
      <c r="X49" s="53"/>
      <c r="Y49" s="54"/>
      <c r="Z49" s="54"/>
      <c r="AA49" s="54"/>
      <c r="AB49" s="54"/>
      <c r="AC49" s="54"/>
      <c r="AD49" s="54"/>
      <c r="AE49" s="54"/>
      <c r="AF49" s="54"/>
      <c r="AG49" s="54"/>
      <c r="AH49" s="54"/>
      <c r="AI49" s="54"/>
      <c r="AJ49" s="54"/>
      <c r="AK49" s="54"/>
      <c r="AL49" s="54"/>
      <c r="AM49" s="54"/>
      <c r="AN49" s="54"/>
      <c r="AO49" s="54"/>
      <c r="AP49" s="54"/>
      <c r="AQ49" s="54"/>
      <c r="AR49" s="54"/>
      <c r="AS49" s="54"/>
      <c r="AT49" s="54"/>
      <c r="AU49" s="54"/>
      <c r="AV49" s="54"/>
      <c r="AW49" s="54"/>
      <c r="AX49" s="54"/>
      <c r="AY49" s="54"/>
      <c r="AZ49" s="54"/>
      <c r="BA49" s="54"/>
      <c r="BB49" s="54"/>
      <c r="BC49" s="54"/>
      <c r="BD49" s="54"/>
      <c r="BE49" s="55"/>
    </row>
    <row r="50" spans="1:57">
      <c r="A50" s="47"/>
      <c r="B50" s="47"/>
      <c r="C50" s="48"/>
      <c r="D50" s="48"/>
      <c r="E50" s="48"/>
      <c r="F50" s="48"/>
      <c r="G50" s="50"/>
      <c r="H50" s="51"/>
      <c r="I50" s="51"/>
      <c r="J50" s="51"/>
      <c r="K50" s="52"/>
      <c r="L50" s="49"/>
      <c r="M50" s="49"/>
      <c r="N50" s="49"/>
      <c r="O50" s="49"/>
      <c r="P50" s="49"/>
      <c r="Q50" s="49"/>
      <c r="R50" s="53"/>
      <c r="S50" s="54"/>
      <c r="T50" s="54"/>
      <c r="U50" s="54"/>
      <c r="V50" s="54"/>
      <c r="W50" s="55"/>
      <c r="X50" s="53"/>
      <c r="Y50" s="54"/>
      <c r="Z50" s="54"/>
      <c r="AA50" s="54"/>
      <c r="AB50" s="54"/>
      <c r="AC50" s="54"/>
      <c r="AD50" s="54"/>
      <c r="AE50" s="54"/>
      <c r="AF50" s="54"/>
      <c r="AG50" s="54"/>
      <c r="AH50" s="54"/>
      <c r="AI50" s="54"/>
      <c r="AJ50" s="54"/>
      <c r="AK50" s="54"/>
      <c r="AL50" s="54"/>
      <c r="AM50" s="54"/>
      <c r="AN50" s="54"/>
      <c r="AO50" s="54"/>
      <c r="AP50" s="54"/>
      <c r="AQ50" s="54"/>
      <c r="AR50" s="54"/>
      <c r="AS50" s="54"/>
      <c r="AT50" s="54"/>
      <c r="AU50" s="54"/>
      <c r="AV50" s="54"/>
      <c r="AW50" s="54"/>
      <c r="AX50" s="54"/>
      <c r="AY50" s="54"/>
      <c r="AZ50" s="54"/>
      <c r="BA50" s="54"/>
      <c r="BB50" s="54"/>
      <c r="BC50" s="54"/>
      <c r="BD50" s="54"/>
      <c r="BE50" s="55"/>
    </row>
    <row r="51" spans="1:57">
      <c r="A51" s="47"/>
      <c r="B51" s="47"/>
      <c r="C51" s="48"/>
      <c r="D51" s="48"/>
      <c r="E51" s="48"/>
      <c r="F51" s="48"/>
      <c r="G51" s="50"/>
      <c r="H51" s="51"/>
      <c r="I51" s="51"/>
      <c r="J51" s="51"/>
      <c r="K51" s="52"/>
      <c r="L51" s="49"/>
      <c r="M51" s="49"/>
      <c r="N51" s="49"/>
      <c r="O51" s="49"/>
      <c r="P51" s="49"/>
      <c r="Q51" s="49"/>
      <c r="R51" s="53"/>
      <c r="S51" s="54"/>
      <c r="T51" s="54"/>
      <c r="U51" s="54"/>
      <c r="V51" s="54"/>
      <c r="W51" s="55"/>
      <c r="X51" s="53"/>
      <c r="Y51" s="54"/>
      <c r="Z51" s="54"/>
      <c r="AA51" s="54"/>
      <c r="AB51" s="54"/>
      <c r="AC51" s="54"/>
      <c r="AD51" s="54"/>
      <c r="AE51" s="54"/>
      <c r="AF51" s="54"/>
      <c r="AG51" s="54"/>
      <c r="AH51" s="54"/>
      <c r="AI51" s="54"/>
      <c r="AJ51" s="54"/>
      <c r="AK51" s="54"/>
      <c r="AL51" s="54"/>
      <c r="AM51" s="54"/>
      <c r="AN51" s="54"/>
      <c r="AO51" s="54"/>
      <c r="AP51" s="54"/>
      <c r="AQ51" s="54"/>
      <c r="AR51" s="54"/>
      <c r="AS51" s="54"/>
      <c r="AT51" s="54"/>
      <c r="AU51" s="54"/>
      <c r="AV51" s="54"/>
      <c r="AW51" s="54"/>
      <c r="AX51" s="54"/>
      <c r="AY51" s="54"/>
      <c r="AZ51" s="54"/>
      <c r="BA51" s="54"/>
      <c r="BB51" s="54"/>
      <c r="BC51" s="54"/>
      <c r="BD51" s="54"/>
      <c r="BE51" s="55"/>
    </row>
    <row r="52" spans="1:57">
      <c r="A52" s="47"/>
      <c r="B52" s="47"/>
      <c r="C52" s="48"/>
      <c r="D52" s="48"/>
      <c r="E52" s="48"/>
      <c r="F52" s="48"/>
      <c r="G52" s="50"/>
      <c r="H52" s="51"/>
      <c r="I52" s="51"/>
      <c r="J52" s="51"/>
      <c r="K52" s="52"/>
      <c r="L52" s="49"/>
      <c r="M52" s="49"/>
      <c r="N52" s="49"/>
      <c r="O52" s="49"/>
      <c r="P52" s="49"/>
      <c r="Q52" s="49"/>
      <c r="R52" s="53"/>
      <c r="S52" s="54"/>
      <c r="T52" s="54"/>
      <c r="U52" s="54"/>
      <c r="V52" s="54"/>
      <c r="W52" s="55"/>
      <c r="X52" s="53"/>
      <c r="Y52" s="54"/>
      <c r="Z52" s="54"/>
      <c r="AA52" s="54"/>
      <c r="AB52" s="54"/>
      <c r="AC52" s="54"/>
      <c r="AD52" s="54"/>
      <c r="AE52" s="54"/>
      <c r="AF52" s="54"/>
      <c r="AG52" s="54"/>
      <c r="AH52" s="54"/>
      <c r="AI52" s="54"/>
      <c r="AJ52" s="54"/>
      <c r="AK52" s="54"/>
      <c r="AL52" s="54"/>
      <c r="AM52" s="54"/>
      <c r="AN52" s="54"/>
      <c r="AO52" s="54"/>
      <c r="AP52" s="54"/>
      <c r="AQ52" s="54"/>
      <c r="AR52" s="54"/>
      <c r="AS52" s="54"/>
      <c r="AT52" s="54"/>
      <c r="AU52" s="54"/>
      <c r="AV52" s="54"/>
      <c r="AW52" s="54"/>
      <c r="AX52" s="54"/>
      <c r="AY52" s="54"/>
      <c r="AZ52" s="54"/>
      <c r="BA52" s="54"/>
      <c r="BB52" s="54"/>
      <c r="BC52" s="54"/>
      <c r="BD52" s="54"/>
      <c r="BE52" s="55"/>
    </row>
  </sheetData>
  <mergeCells count="310">
    <mergeCell ref="R49:W49"/>
    <mergeCell ref="X49:BE49"/>
    <mergeCell ref="R50:W50"/>
    <mergeCell ref="X50:BE50"/>
    <mergeCell ref="R51:W51"/>
    <mergeCell ref="X51:BE51"/>
    <mergeCell ref="R52:W52"/>
    <mergeCell ref="X52:BE52"/>
    <mergeCell ref="R44:W44"/>
    <mergeCell ref="X44:BE44"/>
    <mergeCell ref="R45:W45"/>
    <mergeCell ref="X45:BE45"/>
    <mergeCell ref="R46:W46"/>
    <mergeCell ref="X46:BE46"/>
    <mergeCell ref="R47:W47"/>
    <mergeCell ref="X47:BE47"/>
    <mergeCell ref="R48:W48"/>
    <mergeCell ref="X48:BE48"/>
    <mergeCell ref="R17:W17"/>
    <mergeCell ref="X17:BE17"/>
    <mergeCell ref="R18:W18"/>
    <mergeCell ref="X18:BE18"/>
    <mergeCell ref="R19:W19"/>
    <mergeCell ref="X19:BE19"/>
    <mergeCell ref="R20:W20"/>
    <mergeCell ref="X20:BE20"/>
    <mergeCell ref="R21:W21"/>
    <mergeCell ref="X21:BE21"/>
    <mergeCell ref="R12:W12"/>
    <mergeCell ref="X12:BE12"/>
    <mergeCell ref="R13:W13"/>
    <mergeCell ref="X13:BE13"/>
    <mergeCell ref="R14:W14"/>
    <mergeCell ref="X14:BE14"/>
    <mergeCell ref="R15:W15"/>
    <mergeCell ref="X15:BE15"/>
    <mergeCell ref="R16:W16"/>
    <mergeCell ref="X16:BE16"/>
    <mergeCell ref="R7:W7"/>
    <mergeCell ref="X7:BE7"/>
    <mergeCell ref="R8:W8"/>
    <mergeCell ref="X8:BE8"/>
    <mergeCell ref="R9:W9"/>
    <mergeCell ref="X9:BE9"/>
    <mergeCell ref="R10:W10"/>
    <mergeCell ref="X10:BE10"/>
    <mergeCell ref="R11:W11"/>
    <mergeCell ref="X11:BE11"/>
    <mergeCell ref="R25:W25"/>
    <mergeCell ref="X25:BE25"/>
    <mergeCell ref="R26:W26"/>
    <mergeCell ref="X26:BE26"/>
    <mergeCell ref="R27:W27"/>
    <mergeCell ref="X27:BE27"/>
    <mergeCell ref="R28:W28"/>
    <mergeCell ref="X28:BE28"/>
    <mergeCell ref="R29:W29"/>
    <mergeCell ref="X29:BE29"/>
    <mergeCell ref="R32:W32"/>
    <mergeCell ref="X32:BE32"/>
    <mergeCell ref="R33:W33"/>
    <mergeCell ref="X33:BE33"/>
    <mergeCell ref="BB1:BF1"/>
    <mergeCell ref="AX2:BA2"/>
    <mergeCell ref="BB2:BF2"/>
    <mergeCell ref="AO1:AR1"/>
    <mergeCell ref="AX1:BA1"/>
    <mergeCell ref="R4:W4"/>
    <mergeCell ref="X4:BE4"/>
    <mergeCell ref="R5:W5"/>
    <mergeCell ref="X5:BE5"/>
    <mergeCell ref="R6:W6"/>
    <mergeCell ref="R30:W30"/>
    <mergeCell ref="X30:BE30"/>
    <mergeCell ref="R31:W31"/>
    <mergeCell ref="R22:W22"/>
    <mergeCell ref="X22:BE22"/>
    <mergeCell ref="R23:W23"/>
    <mergeCell ref="X23:BE23"/>
    <mergeCell ref="R24:W24"/>
    <mergeCell ref="X24:BE24"/>
    <mergeCell ref="X31:BE31"/>
    <mergeCell ref="L5:Q5"/>
    <mergeCell ref="L6:Q6"/>
    <mergeCell ref="A1:F1"/>
    <mergeCell ref="A2:F2"/>
    <mergeCell ref="AO2:AR2"/>
    <mergeCell ref="AS1:AW1"/>
    <mergeCell ref="AS2:AW2"/>
    <mergeCell ref="G1:X1"/>
    <mergeCell ref="Y1:AD1"/>
    <mergeCell ref="AE1:AN1"/>
    <mergeCell ref="G2:X2"/>
    <mergeCell ref="Y2:AD2"/>
    <mergeCell ref="AE2:AN2"/>
    <mergeCell ref="L4:Q4"/>
    <mergeCell ref="X6:BE6"/>
    <mergeCell ref="A8:B8"/>
    <mergeCell ref="C8:F8"/>
    <mergeCell ref="A7:B7"/>
    <mergeCell ref="C7:F7"/>
    <mergeCell ref="A4:B4"/>
    <mergeCell ref="A5:B5"/>
    <mergeCell ref="C4:F4"/>
    <mergeCell ref="C5:F5"/>
    <mergeCell ref="G4:K4"/>
    <mergeCell ref="G5:K5"/>
    <mergeCell ref="G6:K6"/>
    <mergeCell ref="G7:K7"/>
    <mergeCell ref="G8:K8"/>
    <mergeCell ref="A6:B6"/>
    <mergeCell ref="C6:F6"/>
    <mergeCell ref="A11:B11"/>
    <mergeCell ref="C11:F11"/>
    <mergeCell ref="A10:B10"/>
    <mergeCell ref="C10:F10"/>
    <mergeCell ref="A9:B9"/>
    <mergeCell ref="C9:F9"/>
    <mergeCell ref="G9:K9"/>
    <mergeCell ref="G10:K10"/>
    <mergeCell ref="G11:K11"/>
    <mergeCell ref="A14:B14"/>
    <mergeCell ref="C14:F14"/>
    <mergeCell ref="A13:B13"/>
    <mergeCell ref="C13:F13"/>
    <mergeCell ref="L13:Q13"/>
    <mergeCell ref="L14:Q14"/>
    <mergeCell ref="A12:B12"/>
    <mergeCell ref="C12:F12"/>
    <mergeCell ref="G12:K12"/>
    <mergeCell ref="G13:K13"/>
    <mergeCell ref="G14:K14"/>
    <mergeCell ref="A17:B17"/>
    <mergeCell ref="C17:F17"/>
    <mergeCell ref="L17:Q17"/>
    <mergeCell ref="L18:Q18"/>
    <mergeCell ref="A16:B16"/>
    <mergeCell ref="C16:F16"/>
    <mergeCell ref="A15:B15"/>
    <mergeCell ref="C15:F15"/>
    <mergeCell ref="L15:Q15"/>
    <mergeCell ref="L16:Q16"/>
    <mergeCell ref="G15:K15"/>
    <mergeCell ref="G16:K16"/>
    <mergeCell ref="G17:K17"/>
    <mergeCell ref="A20:B20"/>
    <mergeCell ref="C20:F20"/>
    <mergeCell ref="A19:B19"/>
    <mergeCell ref="C19:F19"/>
    <mergeCell ref="L19:Q19"/>
    <mergeCell ref="L20:Q20"/>
    <mergeCell ref="A18:B18"/>
    <mergeCell ref="C18:F18"/>
    <mergeCell ref="G18:K18"/>
    <mergeCell ref="G19:K19"/>
    <mergeCell ref="G20:K20"/>
    <mergeCell ref="A23:B23"/>
    <mergeCell ref="C23:F23"/>
    <mergeCell ref="L23:Q23"/>
    <mergeCell ref="L24:Q24"/>
    <mergeCell ref="A22:B22"/>
    <mergeCell ref="C22:F22"/>
    <mergeCell ref="A21:B21"/>
    <mergeCell ref="C21:F21"/>
    <mergeCell ref="L21:Q21"/>
    <mergeCell ref="L22:Q22"/>
    <mergeCell ref="G21:K21"/>
    <mergeCell ref="G22:K22"/>
    <mergeCell ref="G23:K23"/>
    <mergeCell ref="A26:B26"/>
    <mergeCell ref="C26:F26"/>
    <mergeCell ref="A25:B25"/>
    <mergeCell ref="C25:F25"/>
    <mergeCell ref="L25:Q25"/>
    <mergeCell ref="L26:Q26"/>
    <mergeCell ref="A24:B24"/>
    <mergeCell ref="C24:F24"/>
    <mergeCell ref="G24:K24"/>
    <mergeCell ref="G25:K25"/>
    <mergeCell ref="G26:K26"/>
    <mergeCell ref="A28:B28"/>
    <mergeCell ref="C28:F28"/>
    <mergeCell ref="A27:B27"/>
    <mergeCell ref="C27:F27"/>
    <mergeCell ref="L27:Q27"/>
    <mergeCell ref="L28:Q28"/>
    <mergeCell ref="A30:B30"/>
    <mergeCell ref="C30:F30"/>
    <mergeCell ref="A29:B29"/>
    <mergeCell ref="C29:F29"/>
    <mergeCell ref="L29:Q29"/>
    <mergeCell ref="L30:Q30"/>
    <mergeCell ref="G27:K27"/>
    <mergeCell ref="G28:K28"/>
    <mergeCell ref="G29:K29"/>
    <mergeCell ref="G30:K30"/>
    <mergeCell ref="A31:B31"/>
    <mergeCell ref="C31:F31"/>
    <mergeCell ref="L31:Q31"/>
    <mergeCell ref="L32:Q32"/>
    <mergeCell ref="A34:B34"/>
    <mergeCell ref="C34:F34"/>
    <mergeCell ref="A33:B33"/>
    <mergeCell ref="C33:F33"/>
    <mergeCell ref="L33:Q33"/>
    <mergeCell ref="L34:Q34"/>
    <mergeCell ref="G31:K31"/>
    <mergeCell ref="A35:B35"/>
    <mergeCell ref="C35:F35"/>
    <mergeCell ref="L35:Q35"/>
    <mergeCell ref="L36:Q36"/>
    <mergeCell ref="A32:B32"/>
    <mergeCell ref="C32:F32"/>
    <mergeCell ref="G32:K32"/>
    <mergeCell ref="G33:K33"/>
    <mergeCell ref="G34:K34"/>
    <mergeCell ref="G35:K35"/>
    <mergeCell ref="X37:BE37"/>
    <mergeCell ref="R38:W38"/>
    <mergeCell ref="X38:BE38"/>
    <mergeCell ref="R34:W34"/>
    <mergeCell ref="X34:BE34"/>
    <mergeCell ref="R35:W35"/>
    <mergeCell ref="X35:BE35"/>
    <mergeCell ref="R36:W36"/>
    <mergeCell ref="X36:BE36"/>
    <mergeCell ref="A38:B38"/>
    <mergeCell ref="C38:F38"/>
    <mergeCell ref="G38:K38"/>
    <mergeCell ref="G39:K39"/>
    <mergeCell ref="R39:W39"/>
    <mergeCell ref="L38:Q38"/>
    <mergeCell ref="A36:B36"/>
    <mergeCell ref="C36:F36"/>
    <mergeCell ref="G36:K36"/>
    <mergeCell ref="G37:K37"/>
    <mergeCell ref="R37:W37"/>
    <mergeCell ref="A37:B37"/>
    <mergeCell ref="C37:F37"/>
    <mergeCell ref="L37:Q37"/>
    <mergeCell ref="X39:BE39"/>
    <mergeCell ref="R40:W40"/>
    <mergeCell ref="X40:BE40"/>
    <mergeCell ref="A42:B42"/>
    <mergeCell ref="C42:F42"/>
    <mergeCell ref="G42:K42"/>
    <mergeCell ref="G43:K43"/>
    <mergeCell ref="A41:B41"/>
    <mergeCell ref="C41:F41"/>
    <mergeCell ref="L41:Q41"/>
    <mergeCell ref="L42:Q42"/>
    <mergeCell ref="G41:K41"/>
    <mergeCell ref="R41:W41"/>
    <mergeCell ref="X41:BE41"/>
    <mergeCell ref="R42:W42"/>
    <mergeCell ref="X42:BE42"/>
    <mergeCell ref="R43:W43"/>
    <mergeCell ref="X43:BE43"/>
    <mergeCell ref="A39:B39"/>
    <mergeCell ref="C39:F39"/>
    <mergeCell ref="L39:Q39"/>
    <mergeCell ref="L40:Q40"/>
    <mergeCell ref="L50:Q50"/>
    <mergeCell ref="L51:Q51"/>
    <mergeCell ref="A46:B46"/>
    <mergeCell ref="L52:Q52"/>
    <mergeCell ref="A52:B52"/>
    <mergeCell ref="A51:B51"/>
    <mergeCell ref="A50:B50"/>
    <mergeCell ref="C52:F52"/>
    <mergeCell ref="C50:F50"/>
    <mergeCell ref="A49:B49"/>
    <mergeCell ref="C49:F49"/>
    <mergeCell ref="C51:F51"/>
    <mergeCell ref="C46:F46"/>
    <mergeCell ref="G46:K46"/>
    <mergeCell ref="G47:K47"/>
    <mergeCell ref="G48:K48"/>
    <mergeCell ref="G49:K49"/>
    <mergeCell ref="L47:Q47"/>
    <mergeCell ref="L48:Q48"/>
    <mergeCell ref="L49:Q49"/>
    <mergeCell ref="G50:K50"/>
    <mergeCell ref="G51:K51"/>
    <mergeCell ref="G52:K52"/>
    <mergeCell ref="L46:Q46"/>
    <mergeCell ref="A48:B48"/>
    <mergeCell ref="C48:F48"/>
    <mergeCell ref="A47:B47"/>
    <mergeCell ref="C47:F47"/>
    <mergeCell ref="L7:Q7"/>
    <mergeCell ref="L8:Q8"/>
    <mergeCell ref="L9:Q9"/>
    <mergeCell ref="L10:Q10"/>
    <mergeCell ref="L11:Q11"/>
    <mergeCell ref="L12:Q12"/>
    <mergeCell ref="A45:B45"/>
    <mergeCell ref="C45:F45"/>
    <mergeCell ref="L45:Q45"/>
    <mergeCell ref="A44:B44"/>
    <mergeCell ref="C44:F44"/>
    <mergeCell ref="G44:K44"/>
    <mergeCell ref="G45:K45"/>
    <mergeCell ref="A43:B43"/>
    <mergeCell ref="C43:F43"/>
    <mergeCell ref="L43:Q43"/>
    <mergeCell ref="L44:Q44"/>
    <mergeCell ref="A40:B40"/>
    <mergeCell ref="C40:F40"/>
    <mergeCell ref="G40:K40"/>
  </mergeCells>
  <phoneticPr fontId="1"/>
  <pageMargins left="0.59055118110236227" right="0.39370078740157483" top="0.59055118110236227" bottom="0.59055118110236227" header="0.39370078740157483" footer="0.39370078740157483"/>
  <pageSetup paperSize="9" orientation="landscape" horizontalDpi="0" verticalDpi="0"/>
  <headerFooter alignWithMargins="0">
    <oddFooter>&amp;C&amp;8- &amp;P-1 -&amp;R&amp;"明朝,標準"&amp;8Copyright © 2007 sample Corporation. All Rights Reserved.</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CE60FA-DC16-4E4E-98A2-8032D52FFE3E}">
  <sheetPr codeName="Sheet2"/>
  <dimension ref="A1:BF56"/>
  <sheetViews>
    <sheetView topLeftCell="A4" zoomScaleNormal="100" workbookViewId="0">
      <selection activeCell="S45" sqref="S45"/>
    </sheetView>
  </sheetViews>
  <sheetFormatPr baseColWidth="10" defaultColWidth="2.6640625" defaultRowHeight="14"/>
  <cols>
    <col min="1" max="16384" width="2.6640625" style="1"/>
  </cols>
  <sheetData>
    <row r="1" spans="1:58">
      <c r="A1" s="60" t="s">
        <v>27</v>
      </c>
      <c r="B1" s="60"/>
      <c r="C1" s="60"/>
      <c r="D1" s="60"/>
      <c r="E1" s="60"/>
      <c r="F1" s="60"/>
      <c r="G1" s="67" t="str">
        <f ca="1">IF(ISBLANK(改訂履歴!G1),"",(改訂履歴!G1))</f>
        <v>DOC00001_詳細設計書_MIPG00001_テトリス_VBA</v>
      </c>
      <c r="H1" s="67"/>
      <c r="I1" s="67"/>
      <c r="J1" s="67"/>
      <c r="K1" s="67"/>
      <c r="L1" s="67"/>
      <c r="M1" s="67"/>
      <c r="N1" s="67"/>
      <c r="O1" s="67"/>
      <c r="P1" s="67"/>
      <c r="Q1" s="67"/>
      <c r="R1" s="67"/>
      <c r="S1" s="67"/>
      <c r="T1" s="67"/>
      <c r="U1" s="67"/>
      <c r="V1" s="67"/>
      <c r="W1" s="67"/>
      <c r="X1" s="67"/>
      <c r="Y1" s="60" t="s">
        <v>28</v>
      </c>
      <c r="Z1" s="60"/>
      <c r="AA1" s="60"/>
      <c r="AB1" s="60"/>
      <c r="AC1" s="60"/>
      <c r="AD1" s="60"/>
      <c r="AE1" s="67" t="str">
        <f ca="1">IF(ISBLANK(改訂履歴!$AE$1),"",(改訂履歴!$AE$1))</f>
        <v>DOC00001</v>
      </c>
      <c r="AF1" s="67"/>
      <c r="AG1" s="67"/>
      <c r="AH1" s="67"/>
      <c r="AI1" s="67"/>
      <c r="AJ1" s="67"/>
      <c r="AK1" s="67"/>
      <c r="AL1" s="67"/>
      <c r="AM1" s="67"/>
      <c r="AN1" s="67"/>
      <c r="AO1" s="60" t="s">
        <v>30</v>
      </c>
      <c r="AP1" s="60"/>
      <c r="AQ1" s="60"/>
      <c r="AR1" s="60"/>
      <c r="AS1" s="61" t="str">
        <f>IF(ISBLANK(改訂履歴!AS1),"",(改訂履歴!AS1))</f>
        <v>第1版</v>
      </c>
      <c r="AT1" s="62"/>
      <c r="AU1" s="62"/>
      <c r="AV1" s="62"/>
      <c r="AW1" s="63"/>
      <c r="AX1" s="60" t="s">
        <v>32</v>
      </c>
      <c r="AY1" s="60"/>
      <c r="AZ1" s="60"/>
      <c r="BA1" s="60"/>
      <c r="BB1" s="71" t="str">
        <f ca="1">IF(ISBLANK(改訂履歴!BB1),"",(改訂履歴!BB1))</f>
        <v>水谷</v>
      </c>
      <c r="BC1" s="72"/>
      <c r="BD1" s="72"/>
      <c r="BE1" s="72"/>
      <c r="BF1" s="73"/>
    </row>
    <row r="2" spans="1:58">
      <c r="A2" s="60" t="s">
        <v>0</v>
      </c>
      <c r="B2" s="60"/>
      <c r="C2" s="60"/>
      <c r="D2" s="60"/>
      <c r="E2" s="60"/>
      <c r="F2" s="60"/>
      <c r="G2" s="67" t="str">
        <f ca="1">IF(ISBLANK(改訂履歴!G2),"",(改訂履歴!G2))</f>
        <v>テトリス_VBA</v>
      </c>
      <c r="H2" s="67"/>
      <c r="I2" s="67"/>
      <c r="J2" s="67"/>
      <c r="K2" s="67"/>
      <c r="L2" s="67"/>
      <c r="M2" s="67"/>
      <c r="N2" s="67"/>
      <c r="O2" s="67"/>
      <c r="P2" s="67"/>
      <c r="Q2" s="67"/>
      <c r="R2" s="67"/>
      <c r="S2" s="67"/>
      <c r="T2" s="67"/>
      <c r="U2" s="67"/>
      <c r="V2" s="67"/>
      <c r="W2" s="67"/>
      <c r="X2" s="67"/>
      <c r="Y2" s="60" t="s">
        <v>4</v>
      </c>
      <c r="Z2" s="60"/>
      <c r="AA2" s="60"/>
      <c r="AB2" s="60"/>
      <c r="AC2" s="60"/>
      <c r="AD2" s="60"/>
      <c r="AE2" s="67" t="str">
        <f ca="1">IF(ISBLANK(改訂履歴!$AE$2),"",(改訂履歴!$AE$2))</f>
        <v>MIPG00001</v>
      </c>
      <c r="AF2" s="67"/>
      <c r="AG2" s="67"/>
      <c r="AH2" s="67"/>
      <c r="AI2" s="67"/>
      <c r="AJ2" s="67"/>
      <c r="AK2" s="67"/>
      <c r="AL2" s="67"/>
      <c r="AM2" s="67"/>
      <c r="AN2" s="67"/>
      <c r="AO2" s="60" t="s">
        <v>31</v>
      </c>
      <c r="AP2" s="60"/>
      <c r="AQ2" s="60"/>
      <c r="AR2" s="60"/>
      <c r="AS2" s="64">
        <f>IF(ISBLANK(改訂履歴!AS2),"",(改訂履歴!AS2))</f>
        <v>44871</v>
      </c>
      <c r="AT2" s="65"/>
      <c r="AU2" s="65"/>
      <c r="AV2" s="65"/>
      <c r="AW2" s="66"/>
      <c r="AX2" s="60" t="s">
        <v>33</v>
      </c>
      <c r="AY2" s="60"/>
      <c r="AZ2" s="60"/>
      <c r="BA2" s="60"/>
      <c r="BB2" s="64">
        <f ca="1">IF(ISBLANK(改訂履歴!BB2),"",(改訂履歴!BB2))</f>
        <v>44871</v>
      </c>
      <c r="BC2" s="65"/>
      <c r="BD2" s="65"/>
      <c r="BE2" s="65"/>
      <c r="BF2" s="66"/>
    </row>
    <row r="3" spans="1:58">
      <c r="B3" s="2"/>
    </row>
    <row r="4" spans="1:58">
      <c r="A4" s="3" t="s">
        <v>38</v>
      </c>
      <c r="B4" s="4"/>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4"/>
      <c r="AX4" s="5"/>
    </row>
    <row r="5" spans="1:58" ht="13.5" customHeight="1">
      <c r="A5" s="26"/>
      <c r="B5" s="27" t="s">
        <v>40</v>
      </c>
      <c r="C5" s="27"/>
      <c r="D5" s="27"/>
      <c r="E5" s="27"/>
      <c r="F5" s="27"/>
      <c r="G5" s="27"/>
      <c r="H5" s="27"/>
      <c r="I5" s="27"/>
      <c r="J5" s="27"/>
      <c r="K5" s="27"/>
      <c r="L5" s="27"/>
      <c r="M5" s="27"/>
      <c r="N5" s="27"/>
      <c r="O5" s="27"/>
      <c r="P5" s="27"/>
      <c r="Q5" s="27"/>
      <c r="R5" s="27"/>
      <c r="S5" s="27"/>
      <c r="T5" s="27"/>
      <c r="U5" s="27"/>
      <c r="V5" s="27"/>
      <c r="W5" s="27"/>
      <c r="X5" s="27"/>
      <c r="Y5" s="27"/>
      <c r="Z5" s="27"/>
      <c r="AA5" s="27"/>
      <c r="AB5" s="27"/>
      <c r="AC5" s="27"/>
      <c r="AD5" s="27"/>
      <c r="AE5" s="27"/>
      <c r="AF5" s="27"/>
      <c r="AG5" s="27"/>
      <c r="AH5" s="27"/>
      <c r="AI5" s="27"/>
      <c r="AJ5" s="27"/>
      <c r="AK5" s="27"/>
      <c r="AL5" s="27"/>
      <c r="AM5" s="27"/>
      <c r="AN5" s="27"/>
      <c r="AO5" s="27"/>
      <c r="AP5" s="27"/>
      <c r="AQ5" s="27"/>
      <c r="AR5" s="27"/>
      <c r="AS5" s="27"/>
      <c r="AT5" s="27"/>
      <c r="AU5" s="27"/>
      <c r="AV5" s="27"/>
      <c r="AW5" s="27"/>
      <c r="AX5" s="28"/>
    </row>
    <row r="6" spans="1:58" ht="13.5" customHeight="1">
      <c r="A6" s="29"/>
      <c r="B6" s="46" t="s">
        <v>39</v>
      </c>
      <c r="C6"/>
      <c r="D6" s="30"/>
      <c r="E6" s="30"/>
      <c r="F6" s="30"/>
      <c r="G6" s="30"/>
      <c r="H6" s="30"/>
      <c r="I6" s="30"/>
      <c r="J6" s="30"/>
      <c r="K6" s="30"/>
      <c r="L6" s="30"/>
      <c r="M6" s="30"/>
      <c r="N6" s="30"/>
      <c r="O6" s="30"/>
      <c r="P6" s="30"/>
      <c r="Q6" s="30"/>
      <c r="R6" s="30"/>
      <c r="S6" s="30"/>
      <c r="T6" s="30"/>
      <c r="U6" s="30"/>
      <c r="V6" s="30"/>
      <c r="W6" s="30"/>
      <c r="X6" s="30"/>
      <c r="Y6" s="30"/>
      <c r="Z6" s="30"/>
      <c r="AA6" s="30"/>
      <c r="AB6" s="30"/>
      <c r="AC6" s="30"/>
      <c r="AD6" s="30"/>
      <c r="AE6" s="30"/>
      <c r="AF6" s="30"/>
      <c r="AG6" s="30"/>
      <c r="AH6" s="30"/>
      <c r="AI6" s="30"/>
      <c r="AJ6" s="30"/>
      <c r="AK6" s="30"/>
      <c r="AL6" s="30"/>
      <c r="AM6" s="30"/>
      <c r="AN6" s="30"/>
      <c r="AO6" s="30"/>
      <c r="AP6" s="30"/>
      <c r="AQ6" s="30"/>
      <c r="AR6" s="30"/>
      <c r="AS6" s="30"/>
      <c r="AT6" s="30"/>
      <c r="AU6" s="30"/>
      <c r="AV6" s="30"/>
      <c r="AW6" s="30"/>
      <c r="AX6" s="31"/>
    </row>
    <row r="7" spans="1:58" ht="13.5" customHeight="1">
      <c r="A7" s="29"/>
      <c r="B7" s="30" t="s">
        <v>75</v>
      </c>
      <c r="C7" s="30"/>
      <c r="D7" s="30"/>
      <c r="E7" s="30"/>
      <c r="F7" s="30"/>
      <c r="G7" s="30"/>
      <c r="H7" s="30"/>
      <c r="I7" s="30"/>
      <c r="J7" s="30"/>
      <c r="K7" s="30"/>
      <c r="L7" s="30"/>
      <c r="M7" s="30"/>
      <c r="N7" s="30"/>
      <c r="O7" s="30"/>
      <c r="P7" s="30"/>
      <c r="Q7" s="30"/>
      <c r="R7" s="30"/>
      <c r="S7" s="30"/>
      <c r="T7" s="30"/>
      <c r="U7" s="30"/>
      <c r="V7" s="30"/>
      <c r="W7" s="30"/>
      <c r="X7" s="30"/>
      <c r="Y7" s="30"/>
      <c r="Z7" s="30"/>
      <c r="AA7" s="30"/>
      <c r="AB7" s="30"/>
      <c r="AC7" s="30"/>
      <c r="AD7" s="30"/>
      <c r="AE7" s="30"/>
      <c r="AF7" s="30"/>
      <c r="AG7" s="30"/>
      <c r="AH7" s="30"/>
      <c r="AI7" s="30"/>
      <c r="AJ7" s="30"/>
      <c r="AK7" s="30"/>
      <c r="AL7" s="30"/>
      <c r="AM7" s="30"/>
      <c r="AN7" s="30"/>
      <c r="AO7" s="30"/>
      <c r="AP7" s="30"/>
      <c r="AQ7" s="30"/>
      <c r="AR7" s="30"/>
      <c r="AS7" s="30"/>
      <c r="AT7" s="30"/>
      <c r="AU7" s="30"/>
      <c r="AV7" s="30"/>
      <c r="AW7" s="30"/>
      <c r="AX7" s="31"/>
    </row>
    <row r="8" spans="1:58" ht="13.5" customHeight="1">
      <c r="A8" s="29"/>
      <c r="B8" s="46" t="s">
        <v>74</v>
      </c>
      <c r="C8" s="30"/>
      <c r="D8" s="30"/>
      <c r="E8" s="30"/>
      <c r="F8" s="30"/>
      <c r="G8" s="30"/>
      <c r="H8" s="30"/>
      <c r="I8" s="30"/>
      <c r="J8" s="30"/>
      <c r="K8" s="30"/>
      <c r="L8" s="30"/>
      <c r="M8" s="30"/>
      <c r="N8" s="30"/>
      <c r="O8" s="30"/>
      <c r="P8" s="30"/>
      <c r="Q8" s="30"/>
      <c r="R8" s="30"/>
      <c r="S8" s="30"/>
      <c r="T8" s="30"/>
      <c r="U8" s="30"/>
      <c r="V8" s="30"/>
      <c r="W8" s="30"/>
      <c r="X8" s="30"/>
      <c r="Y8" s="30"/>
      <c r="Z8" s="30"/>
      <c r="AA8" s="30"/>
      <c r="AB8" s="30"/>
      <c r="AC8" s="30"/>
      <c r="AD8" s="30"/>
      <c r="AE8" s="30"/>
      <c r="AF8" s="30"/>
      <c r="AG8" s="30"/>
      <c r="AH8" s="30"/>
      <c r="AI8" s="30"/>
      <c r="AJ8" s="30"/>
      <c r="AK8" s="30"/>
      <c r="AL8" s="30"/>
      <c r="AM8" s="30"/>
      <c r="AN8" s="30"/>
      <c r="AO8" s="30"/>
      <c r="AP8" s="30"/>
      <c r="AQ8" s="30"/>
      <c r="AR8" s="30"/>
      <c r="AS8" s="30"/>
      <c r="AT8" s="30"/>
      <c r="AU8" s="30"/>
      <c r="AV8" s="30"/>
      <c r="AW8" s="30"/>
      <c r="AX8" s="31"/>
    </row>
    <row r="9" spans="1:58" ht="13.5" customHeight="1">
      <c r="A9" s="29"/>
      <c r="B9" s="46"/>
      <c r="C9" s="30"/>
      <c r="D9" s="30"/>
      <c r="E9" s="30"/>
      <c r="F9" s="30"/>
      <c r="G9" s="30"/>
      <c r="H9" s="30"/>
      <c r="I9" s="30"/>
      <c r="J9" s="30"/>
      <c r="K9" s="30"/>
      <c r="L9" s="30"/>
      <c r="M9" s="30"/>
      <c r="N9" s="30"/>
      <c r="O9" s="30"/>
      <c r="P9" s="30"/>
      <c r="Q9" s="30"/>
      <c r="R9" s="30"/>
      <c r="S9" s="30"/>
      <c r="T9" s="30"/>
      <c r="U9" s="30"/>
      <c r="V9" s="30"/>
      <c r="W9" s="30"/>
      <c r="X9" s="30"/>
      <c r="Y9" s="30"/>
      <c r="Z9" s="30"/>
      <c r="AA9" s="30"/>
      <c r="AB9" s="30"/>
      <c r="AC9" s="30"/>
      <c r="AD9" s="30"/>
      <c r="AE9" s="30"/>
      <c r="AF9" s="30"/>
      <c r="AG9" s="30"/>
      <c r="AH9" s="30"/>
      <c r="AI9" s="30"/>
      <c r="AJ9" s="30"/>
      <c r="AK9" s="30"/>
      <c r="AL9" s="30"/>
      <c r="AM9" s="30"/>
      <c r="AN9" s="30"/>
      <c r="AO9" s="30"/>
      <c r="AP9" s="30"/>
      <c r="AQ9" s="30"/>
      <c r="AR9" s="30"/>
      <c r="AS9" s="30"/>
      <c r="AT9" s="30"/>
      <c r="AU9" s="30"/>
      <c r="AV9" s="30"/>
      <c r="AW9" s="30"/>
      <c r="AX9" s="31"/>
    </row>
    <row r="10" spans="1:58" ht="13.5" customHeight="1">
      <c r="A10" s="29"/>
      <c r="B10" s="30" t="s">
        <v>41</v>
      </c>
      <c r="C10" s="30"/>
      <c r="D10" s="30"/>
      <c r="E10" s="30"/>
      <c r="F10" s="30"/>
      <c r="G10" s="30"/>
      <c r="H10" s="30"/>
      <c r="I10" s="30"/>
      <c r="J10" s="30"/>
      <c r="K10" s="30"/>
      <c r="L10" s="30"/>
      <c r="M10" s="30"/>
      <c r="N10" s="30"/>
      <c r="O10" s="30"/>
      <c r="P10" s="30"/>
      <c r="Q10" s="30"/>
      <c r="R10" s="30"/>
      <c r="S10" s="30"/>
      <c r="T10" s="30"/>
      <c r="U10" s="30"/>
      <c r="V10" s="30"/>
      <c r="W10" s="30"/>
      <c r="X10" s="30"/>
      <c r="Y10" s="30"/>
      <c r="Z10" s="30"/>
      <c r="AA10" s="30"/>
      <c r="AB10" s="30"/>
      <c r="AC10" s="30"/>
      <c r="AD10" s="30"/>
      <c r="AE10" s="30"/>
      <c r="AF10" s="30"/>
      <c r="AG10" s="30"/>
      <c r="AH10" s="30"/>
      <c r="AI10" s="30"/>
      <c r="AJ10" s="30"/>
      <c r="AK10" s="30"/>
      <c r="AL10" s="30"/>
      <c r="AM10" s="30"/>
      <c r="AN10" s="30"/>
      <c r="AO10" s="30"/>
      <c r="AP10" s="30"/>
      <c r="AQ10" s="30"/>
      <c r="AR10" s="30"/>
      <c r="AS10" s="30"/>
      <c r="AT10" s="30"/>
      <c r="AU10" s="30"/>
      <c r="AV10" s="30"/>
      <c r="AW10" s="30"/>
      <c r="AX10" s="31"/>
    </row>
    <row r="11" spans="1:58" ht="13.5" customHeight="1">
      <c r="A11" s="29"/>
      <c r="B11" s="30"/>
      <c r="C11" s="30"/>
      <c r="D11" s="30"/>
      <c r="E11" s="30"/>
      <c r="F11" s="30"/>
      <c r="G11" s="30"/>
      <c r="H11" s="30"/>
      <c r="I11" s="30"/>
      <c r="J11" s="30"/>
      <c r="K11" s="30"/>
      <c r="L11" s="30"/>
      <c r="M11" s="30"/>
      <c r="N11" s="30"/>
      <c r="O11" s="30"/>
      <c r="P11" s="30"/>
      <c r="Q11" s="30"/>
      <c r="R11" s="30"/>
      <c r="S11" s="30"/>
      <c r="T11" s="30"/>
      <c r="U11" s="30"/>
      <c r="V11" s="30"/>
      <c r="W11" s="30"/>
      <c r="X11" s="30"/>
      <c r="Y11" s="30"/>
      <c r="Z11" s="30"/>
      <c r="AA11" s="30"/>
      <c r="AB11" s="30"/>
      <c r="AC11" s="30"/>
      <c r="AD11" s="30"/>
      <c r="AE11" s="30"/>
      <c r="AF11" s="30"/>
      <c r="AG11" s="30"/>
      <c r="AH11" s="30"/>
      <c r="AI11" s="30"/>
      <c r="AJ11" s="30"/>
      <c r="AK11" s="30"/>
      <c r="AL11" s="30"/>
      <c r="AM11" s="30"/>
      <c r="AN11" s="30"/>
      <c r="AO11" s="30"/>
      <c r="AP11" s="30"/>
      <c r="AQ11" s="30"/>
      <c r="AR11" s="30"/>
      <c r="AS11" s="30"/>
      <c r="AT11" s="30"/>
      <c r="AU11" s="30"/>
      <c r="AV11" s="30"/>
      <c r="AW11" s="30"/>
      <c r="AX11" s="31"/>
    </row>
    <row r="12" spans="1:58" ht="13.5" customHeight="1">
      <c r="A12" s="29"/>
      <c r="B12" s="30"/>
      <c r="C12" s="30"/>
      <c r="D12" s="30"/>
      <c r="E12" s="30"/>
      <c r="F12" s="30"/>
      <c r="G12" s="30"/>
      <c r="H12" s="30"/>
      <c r="I12" s="30"/>
      <c r="J12" s="30"/>
      <c r="K12" s="30"/>
      <c r="L12" s="30"/>
      <c r="M12" s="30"/>
      <c r="N12" s="30"/>
      <c r="O12" s="30"/>
      <c r="P12" s="30"/>
      <c r="Q12" s="30"/>
      <c r="R12" s="30"/>
      <c r="S12" s="30"/>
      <c r="T12" s="30"/>
      <c r="U12" s="30"/>
      <c r="V12" s="30"/>
      <c r="W12" s="30"/>
      <c r="X12" s="30"/>
      <c r="Y12" s="30"/>
      <c r="Z12" s="30"/>
      <c r="AA12" s="30"/>
      <c r="AB12" s="30"/>
      <c r="AC12" s="30"/>
      <c r="AD12" s="30"/>
      <c r="AE12" s="30"/>
      <c r="AF12" s="30"/>
      <c r="AG12" s="30"/>
      <c r="AH12" s="30"/>
      <c r="AI12" s="30"/>
      <c r="AJ12" s="30"/>
      <c r="AK12" s="30"/>
      <c r="AL12" s="30"/>
      <c r="AM12" s="30"/>
      <c r="AN12" s="30"/>
      <c r="AO12" s="30"/>
      <c r="AP12" s="30"/>
      <c r="AQ12" s="30"/>
      <c r="AR12" s="30"/>
      <c r="AS12" s="30"/>
      <c r="AT12" s="30"/>
      <c r="AU12" s="30"/>
      <c r="AV12" s="30"/>
      <c r="AW12" s="30"/>
      <c r="AX12" s="31"/>
    </row>
    <row r="13" spans="1:58" ht="13.5" customHeight="1">
      <c r="A13" s="29"/>
      <c r="B13" s="30"/>
      <c r="C13" s="30"/>
      <c r="D13" s="30"/>
      <c r="E13" s="30"/>
      <c r="F13" s="30"/>
      <c r="G13" s="30"/>
      <c r="H13" s="30"/>
      <c r="I13" s="30"/>
      <c r="J13" s="30"/>
      <c r="K13" s="30"/>
      <c r="L13" s="30"/>
      <c r="M13" s="30"/>
      <c r="N13" s="30"/>
      <c r="O13" s="30"/>
      <c r="P13" s="30"/>
      <c r="Q13" s="30"/>
      <c r="R13" s="30"/>
      <c r="S13" s="30"/>
      <c r="T13" s="30"/>
      <c r="U13" s="30"/>
      <c r="V13" s="30"/>
      <c r="W13" s="30"/>
      <c r="X13" s="30"/>
      <c r="Y13" s="30"/>
      <c r="Z13" s="30"/>
      <c r="AA13" s="30"/>
      <c r="AB13" s="30"/>
      <c r="AC13" s="30"/>
      <c r="AD13" s="30"/>
      <c r="AE13" s="30"/>
      <c r="AF13" s="30"/>
      <c r="AG13" s="30"/>
      <c r="AH13" s="30"/>
      <c r="AI13" s="30"/>
      <c r="AJ13" s="30"/>
      <c r="AK13" s="30"/>
      <c r="AL13" s="30"/>
      <c r="AM13" s="30"/>
      <c r="AN13" s="30"/>
      <c r="AO13" s="30"/>
      <c r="AP13" s="30"/>
      <c r="AQ13" s="30"/>
      <c r="AR13" s="30"/>
      <c r="AS13" s="30"/>
      <c r="AT13" s="30"/>
      <c r="AU13" s="30"/>
      <c r="AV13" s="30"/>
      <c r="AW13" s="30"/>
      <c r="AX13" s="31"/>
    </row>
    <row r="14" spans="1:58" ht="13.5" customHeight="1">
      <c r="A14" s="29"/>
      <c r="B14" s="30"/>
      <c r="C14" s="30"/>
      <c r="D14" s="30"/>
      <c r="E14" s="30"/>
      <c r="F14" s="30"/>
      <c r="G14" s="30"/>
      <c r="H14" s="30"/>
      <c r="I14" s="30"/>
      <c r="J14" s="30"/>
      <c r="K14" s="30"/>
      <c r="L14" s="30"/>
      <c r="M14" s="30"/>
      <c r="N14" s="30"/>
      <c r="O14" s="30"/>
      <c r="P14" s="30"/>
      <c r="Q14" s="30"/>
      <c r="R14" s="30"/>
      <c r="S14" s="30"/>
      <c r="T14" s="30"/>
      <c r="U14" s="30"/>
      <c r="V14" s="30"/>
      <c r="W14" s="30"/>
      <c r="X14" s="30"/>
      <c r="Y14" s="30"/>
      <c r="Z14" s="30"/>
      <c r="AA14" s="30"/>
      <c r="AB14" s="30"/>
      <c r="AC14" s="30"/>
      <c r="AD14" s="30"/>
      <c r="AE14" s="30"/>
      <c r="AF14" s="30"/>
      <c r="AG14" s="30"/>
      <c r="AH14" s="30"/>
      <c r="AI14" s="30"/>
      <c r="AJ14" s="30"/>
      <c r="AK14" s="30"/>
      <c r="AL14" s="30"/>
      <c r="AM14" s="30"/>
      <c r="AN14" s="30"/>
      <c r="AO14" s="30"/>
      <c r="AP14" s="30"/>
      <c r="AQ14" s="30"/>
      <c r="AR14" s="30"/>
      <c r="AS14" s="30"/>
      <c r="AT14" s="30"/>
      <c r="AU14" s="30"/>
      <c r="AV14" s="30"/>
      <c r="AW14" s="30"/>
      <c r="AX14" s="31"/>
    </row>
    <row r="15" spans="1:58" ht="13.5" customHeight="1">
      <c r="A15" s="29"/>
      <c r="B15" s="30" t="s">
        <v>42</v>
      </c>
      <c r="C15" s="30"/>
      <c r="D15" s="30"/>
      <c r="E15" s="30"/>
      <c r="F15" s="30"/>
      <c r="G15" s="30"/>
      <c r="H15" s="30"/>
      <c r="I15" s="30"/>
      <c r="J15" s="30"/>
      <c r="K15" s="30"/>
      <c r="L15" s="30"/>
      <c r="M15" s="30"/>
      <c r="N15" s="30"/>
      <c r="O15" s="30"/>
      <c r="P15" s="30"/>
      <c r="Q15" s="30"/>
      <c r="R15" s="30"/>
      <c r="S15" s="30"/>
      <c r="T15" s="30"/>
      <c r="U15" s="30"/>
      <c r="V15" s="30"/>
      <c r="W15" s="30"/>
      <c r="X15" s="30"/>
      <c r="Y15" s="30"/>
      <c r="Z15" s="30"/>
      <c r="AA15" s="30"/>
      <c r="AB15" s="30"/>
      <c r="AC15" s="30"/>
      <c r="AD15" s="30"/>
      <c r="AE15" s="30"/>
      <c r="AF15" s="30"/>
      <c r="AG15" s="30"/>
      <c r="AH15" s="30"/>
      <c r="AI15" s="30"/>
      <c r="AJ15" s="30"/>
      <c r="AK15" s="30"/>
      <c r="AL15" s="30"/>
      <c r="AM15" s="30"/>
      <c r="AN15" s="30"/>
      <c r="AO15" s="30"/>
      <c r="AP15" s="30"/>
      <c r="AQ15" s="30"/>
      <c r="AR15" s="30"/>
      <c r="AS15" s="30"/>
      <c r="AT15" s="30"/>
      <c r="AU15" s="30"/>
      <c r="AV15" s="30"/>
      <c r="AW15" s="30"/>
      <c r="AX15" s="31"/>
    </row>
    <row r="16" spans="1:58" ht="13.5" customHeight="1">
      <c r="A16" s="29"/>
      <c r="B16" s="30" t="s">
        <v>43</v>
      </c>
      <c r="C16" s="30"/>
      <c r="D16" s="30"/>
      <c r="E16" s="30"/>
      <c r="F16" s="30"/>
      <c r="G16" s="30"/>
      <c r="H16" s="30"/>
      <c r="I16" s="30"/>
      <c r="J16" s="30"/>
      <c r="K16" s="30"/>
      <c r="L16" s="30"/>
      <c r="M16" s="30"/>
      <c r="N16" s="30"/>
      <c r="O16" s="30"/>
      <c r="P16" s="30"/>
      <c r="Q16" s="30"/>
      <c r="R16" s="30"/>
      <c r="S16" s="30"/>
      <c r="T16" s="30"/>
      <c r="U16" s="30"/>
      <c r="V16" s="30"/>
      <c r="W16" s="30"/>
      <c r="X16" s="30"/>
      <c r="Y16" s="30"/>
      <c r="Z16" s="30"/>
      <c r="AA16" s="30"/>
      <c r="AB16" s="30"/>
      <c r="AC16" s="30"/>
      <c r="AD16" s="30"/>
      <c r="AE16" s="30"/>
      <c r="AF16" s="30"/>
      <c r="AG16" s="30"/>
      <c r="AH16" s="30"/>
      <c r="AI16" s="30"/>
      <c r="AJ16" s="30"/>
      <c r="AK16" s="30"/>
      <c r="AL16" s="30"/>
      <c r="AM16" s="30"/>
      <c r="AN16" s="30"/>
      <c r="AO16" s="30"/>
      <c r="AP16" s="30"/>
      <c r="AQ16" s="30"/>
      <c r="AR16" s="30"/>
      <c r="AS16" s="30"/>
      <c r="AT16" s="30"/>
      <c r="AU16" s="30"/>
      <c r="AV16" s="30"/>
      <c r="AW16" s="30"/>
      <c r="AX16" s="31"/>
    </row>
    <row r="17" spans="1:50" ht="13.5" customHeight="1">
      <c r="A17" s="29"/>
      <c r="B17" s="30"/>
      <c r="C17" s="30"/>
      <c r="D17" s="30"/>
      <c r="E17" s="30"/>
      <c r="F17" s="30"/>
      <c r="G17" s="30"/>
      <c r="H17" s="30"/>
      <c r="I17" s="30"/>
      <c r="J17" s="30"/>
      <c r="K17" s="30"/>
      <c r="L17" s="30"/>
      <c r="M17" s="30"/>
      <c r="N17" s="30"/>
      <c r="O17" s="30"/>
      <c r="P17" s="30"/>
      <c r="Q17" s="30"/>
      <c r="R17" s="30"/>
      <c r="S17" s="30"/>
      <c r="T17" s="30"/>
      <c r="U17" s="30"/>
      <c r="V17" s="30"/>
      <c r="W17" s="30"/>
      <c r="X17" s="30"/>
      <c r="Y17" s="30"/>
      <c r="Z17" s="30"/>
      <c r="AA17" s="30"/>
      <c r="AB17" s="30"/>
      <c r="AC17" s="30"/>
      <c r="AD17" s="30"/>
      <c r="AE17" s="30"/>
      <c r="AF17" s="30"/>
      <c r="AG17" s="30"/>
      <c r="AH17" s="30"/>
      <c r="AI17" s="30"/>
      <c r="AJ17" s="30"/>
      <c r="AK17" s="30"/>
      <c r="AL17" s="30"/>
      <c r="AM17" s="30"/>
      <c r="AN17" s="30"/>
      <c r="AO17" s="30"/>
      <c r="AP17" s="30"/>
      <c r="AQ17" s="30"/>
      <c r="AR17" s="30"/>
      <c r="AS17" s="30"/>
      <c r="AT17" s="30"/>
      <c r="AU17" s="30"/>
      <c r="AV17" s="30"/>
      <c r="AW17" s="30"/>
      <c r="AX17" s="31"/>
    </row>
    <row r="18" spans="1:50" ht="13.5" customHeight="1">
      <c r="A18" s="29"/>
      <c r="B18" s="45" t="s">
        <v>48</v>
      </c>
      <c r="D18" s="30"/>
      <c r="E18" s="30"/>
      <c r="F18" s="30"/>
      <c r="G18" s="30"/>
      <c r="H18" s="30"/>
      <c r="I18" s="30"/>
      <c r="J18" s="30"/>
      <c r="K18" s="30"/>
      <c r="L18" s="30"/>
      <c r="M18" s="30"/>
      <c r="N18" s="30"/>
      <c r="O18" s="30"/>
      <c r="P18" s="30"/>
      <c r="Q18" s="30"/>
      <c r="R18" s="30"/>
      <c r="S18" s="30"/>
      <c r="T18" s="30"/>
      <c r="U18" s="30"/>
      <c r="V18" s="30"/>
      <c r="W18" s="30"/>
      <c r="X18" s="30"/>
      <c r="Y18" s="30"/>
      <c r="Z18" s="30"/>
      <c r="AA18" s="30"/>
      <c r="AB18" s="30"/>
      <c r="AC18" s="30"/>
      <c r="AD18" s="30"/>
      <c r="AE18" s="30"/>
      <c r="AF18" s="30"/>
      <c r="AG18" s="30"/>
      <c r="AH18" s="30"/>
      <c r="AI18" s="30"/>
      <c r="AJ18" s="30"/>
      <c r="AK18" s="30"/>
      <c r="AL18" s="30"/>
      <c r="AM18" s="30"/>
      <c r="AN18" s="30"/>
      <c r="AO18" s="30"/>
      <c r="AP18" s="30"/>
      <c r="AQ18" s="30"/>
      <c r="AR18" s="30"/>
      <c r="AS18" s="30"/>
      <c r="AT18" s="30"/>
      <c r="AU18" s="30"/>
      <c r="AV18" s="30"/>
      <c r="AW18" s="30"/>
      <c r="AX18" s="31"/>
    </row>
    <row r="19" spans="1:50" ht="13.5" customHeight="1">
      <c r="A19" s="29"/>
      <c r="B19" s="1" t="s">
        <v>52</v>
      </c>
      <c r="C19" s="44" t="s">
        <v>49</v>
      </c>
      <c r="E19" s="30"/>
      <c r="F19" s="30"/>
      <c r="G19" s="30"/>
      <c r="H19" s="30"/>
      <c r="I19" s="30"/>
      <c r="J19" s="30"/>
      <c r="K19" s="30"/>
      <c r="L19" s="30"/>
      <c r="M19" s="30"/>
      <c r="N19" s="30"/>
      <c r="O19" s="30"/>
      <c r="P19" s="30"/>
      <c r="Q19" s="30"/>
      <c r="R19" s="30"/>
      <c r="S19" s="30"/>
      <c r="T19" s="30"/>
      <c r="U19" s="30"/>
      <c r="V19" s="30"/>
      <c r="W19" s="30"/>
      <c r="X19" s="30"/>
      <c r="Y19" s="30"/>
      <c r="Z19" s="30"/>
      <c r="AA19" s="30"/>
      <c r="AB19" s="30"/>
      <c r="AC19" s="30"/>
      <c r="AD19" s="30"/>
      <c r="AE19" s="30"/>
      <c r="AF19" s="30"/>
      <c r="AG19" s="30"/>
      <c r="AH19" s="30"/>
      <c r="AI19" s="30"/>
      <c r="AJ19" s="30"/>
      <c r="AK19" s="30"/>
      <c r="AL19" s="30"/>
      <c r="AM19" s="30"/>
      <c r="AN19" s="30"/>
      <c r="AO19" s="30"/>
      <c r="AP19" s="30"/>
      <c r="AQ19" s="30"/>
      <c r="AR19" s="30"/>
      <c r="AS19" s="30"/>
      <c r="AT19" s="30"/>
      <c r="AU19" s="30"/>
      <c r="AV19" s="30"/>
      <c r="AW19" s="30"/>
      <c r="AX19" s="31"/>
    </row>
    <row r="20" spans="1:50" ht="13.5" customHeight="1">
      <c r="A20" s="29"/>
      <c r="B20" s="1" t="s">
        <v>52</v>
      </c>
      <c r="C20" s="1" t="s">
        <v>50</v>
      </c>
      <c r="D20" s="30"/>
      <c r="E20" s="30"/>
      <c r="F20" s="30"/>
      <c r="G20" s="30"/>
      <c r="H20" s="30"/>
      <c r="I20" s="30"/>
      <c r="J20" s="30"/>
      <c r="K20" s="30"/>
      <c r="L20" s="30"/>
      <c r="M20" s="30"/>
      <c r="N20" s="30"/>
      <c r="O20" s="30"/>
      <c r="P20" s="30"/>
      <c r="Q20" s="30"/>
      <c r="R20" s="30"/>
      <c r="S20" s="30"/>
      <c r="T20" s="30"/>
      <c r="U20" s="30"/>
      <c r="V20" s="30"/>
      <c r="W20" s="30"/>
      <c r="X20" s="30"/>
      <c r="Y20" s="30"/>
      <c r="Z20" s="30"/>
      <c r="AA20" s="30"/>
      <c r="AB20" s="30"/>
      <c r="AC20" s="30"/>
      <c r="AD20" s="30"/>
      <c r="AE20" s="30"/>
      <c r="AF20" s="30"/>
      <c r="AG20" s="30"/>
      <c r="AH20" s="30"/>
      <c r="AI20" s="30"/>
      <c r="AJ20" s="30"/>
      <c r="AK20" s="30"/>
      <c r="AL20" s="30"/>
      <c r="AM20" s="30"/>
      <c r="AN20" s="30"/>
      <c r="AO20" s="30"/>
      <c r="AP20" s="30"/>
      <c r="AQ20" s="30"/>
      <c r="AR20" s="30"/>
      <c r="AS20" s="30"/>
      <c r="AT20" s="30"/>
      <c r="AU20" s="30"/>
      <c r="AV20" s="30"/>
      <c r="AW20" s="30"/>
      <c r="AX20" s="31"/>
    </row>
    <row r="21" spans="1:50" ht="13.5" customHeight="1">
      <c r="A21" s="29"/>
      <c r="B21" s="1" t="s">
        <v>52</v>
      </c>
      <c r="C21" s="44" t="s">
        <v>51</v>
      </c>
      <c r="D21" s="30"/>
      <c r="E21" s="30"/>
      <c r="F21" s="30"/>
      <c r="G21" s="30"/>
      <c r="H21" s="30"/>
      <c r="I21" s="30"/>
      <c r="J21" s="30"/>
      <c r="K21" s="30"/>
      <c r="L21" s="30"/>
      <c r="M21" s="30"/>
      <c r="N21" s="30"/>
      <c r="O21" s="30"/>
      <c r="P21" s="30"/>
      <c r="Q21" s="30"/>
      <c r="R21" s="30"/>
      <c r="S21" s="30"/>
      <c r="T21" s="30"/>
      <c r="U21" s="30"/>
      <c r="V21" s="30"/>
      <c r="W21" s="30"/>
      <c r="X21" s="30"/>
      <c r="Y21" s="30"/>
      <c r="Z21" s="30"/>
      <c r="AA21" s="30"/>
      <c r="AB21" s="30"/>
      <c r="AC21" s="30"/>
      <c r="AD21" s="30"/>
      <c r="AE21" s="30"/>
      <c r="AF21" s="30"/>
      <c r="AG21" s="30"/>
      <c r="AH21" s="30"/>
      <c r="AI21" s="30"/>
      <c r="AJ21" s="30"/>
      <c r="AK21" s="30"/>
      <c r="AL21" s="30"/>
      <c r="AM21" s="30"/>
      <c r="AN21" s="30"/>
      <c r="AO21" s="30"/>
      <c r="AP21" s="30"/>
      <c r="AQ21" s="30"/>
      <c r="AR21" s="30"/>
      <c r="AS21" s="30"/>
      <c r="AT21" s="30"/>
      <c r="AU21" s="30"/>
      <c r="AV21" s="30"/>
      <c r="AW21" s="30"/>
      <c r="AX21" s="31"/>
    </row>
    <row r="22" spans="1:50" ht="13.5" customHeight="1">
      <c r="A22" s="29"/>
      <c r="C22" s="30"/>
      <c r="D22" s="30"/>
      <c r="E22" s="42"/>
      <c r="F22" s="30"/>
      <c r="G22" s="30"/>
      <c r="H22" s="30"/>
      <c r="I22" s="30"/>
      <c r="J22" s="30"/>
      <c r="K22" s="30"/>
      <c r="L22" s="30"/>
      <c r="M22" s="30"/>
      <c r="N22" s="30"/>
      <c r="O22" s="30"/>
      <c r="P22" s="30"/>
      <c r="Q22" s="30"/>
      <c r="R22" s="30"/>
      <c r="S22" s="30"/>
      <c r="T22" s="30"/>
      <c r="U22" s="30"/>
      <c r="V22" s="30"/>
      <c r="W22" s="30"/>
      <c r="X22" s="30"/>
      <c r="Y22" s="30"/>
      <c r="Z22" s="30"/>
      <c r="AA22" s="30"/>
      <c r="AB22" s="30"/>
      <c r="AC22" s="30"/>
      <c r="AD22" s="30"/>
      <c r="AE22" s="30"/>
      <c r="AF22" s="30"/>
      <c r="AG22" s="30"/>
      <c r="AH22" s="30"/>
      <c r="AI22" s="30"/>
      <c r="AJ22" s="30"/>
      <c r="AK22" s="30"/>
      <c r="AL22" s="30"/>
      <c r="AM22" s="30"/>
      <c r="AN22" s="30"/>
      <c r="AO22"/>
      <c r="AP22" s="30"/>
      <c r="AQ22" s="30"/>
      <c r="AR22" s="30"/>
      <c r="AS22" s="30"/>
      <c r="AT22" s="30"/>
      <c r="AU22" s="30"/>
      <c r="AV22" s="30"/>
      <c r="AW22" s="30"/>
      <c r="AX22" s="31"/>
    </row>
    <row r="23" spans="1:50" ht="13.5" customHeight="1">
      <c r="A23" s="29"/>
      <c r="B23" s="1" t="s">
        <v>91</v>
      </c>
      <c r="C23" s="30"/>
      <c r="D23" s="30"/>
      <c r="E23" s="42"/>
      <c r="F23" s="30"/>
      <c r="G23" s="30"/>
      <c r="H23" s="30"/>
      <c r="I23" s="30"/>
      <c r="J23" s="30"/>
      <c r="K23" s="30"/>
      <c r="L23" s="30"/>
      <c r="M23" s="30"/>
      <c r="N23" s="30"/>
      <c r="O23" s="30"/>
      <c r="P23" s="30"/>
      <c r="Q23" s="30"/>
      <c r="R23" s="30"/>
      <c r="S23" s="30"/>
      <c r="T23" s="30"/>
      <c r="U23" s="30"/>
      <c r="V23" s="30"/>
      <c r="W23" s="30"/>
      <c r="X23" s="30"/>
      <c r="Y23" s="30"/>
      <c r="Z23" s="30"/>
      <c r="AA23" s="30"/>
      <c r="AB23" s="30"/>
      <c r="AC23" s="30"/>
      <c r="AD23" s="30"/>
      <c r="AE23" s="30"/>
      <c r="AF23" s="30"/>
      <c r="AG23" s="30"/>
      <c r="AH23" s="30"/>
      <c r="AI23" s="30"/>
      <c r="AJ23" s="30"/>
      <c r="AK23" s="30"/>
      <c r="AL23" s="30"/>
      <c r="AM23" s="30"/>
      <c r="AN23" s="30"/>
      <c r="AO23" s="30"/>
      <c r="AP23" s="30"/>
      <c r="AQ23" s="30"/>
      <c r="AR23" s="30"/>
      <c r="AS23" s="30"/>
      <c r="AT23" s="30"/>
      <c r="AU23" s="30"/>
      <c r="AV23" s="30"/>
      <c r="AW23" s="30"/>
      <c r="AX23" s="31"/>
    </row>
    <row r="24" spans="1:50" ht="13.5" customHeight="1">
      <c r="A24" s="29"/>
      <c r="B24" s="1" t="s">
        <v>52</v>
      </c>
      <c r="C24" s="30" t="s">
        <v>92</v>
      </c>
      <c r="D24" s="30"/>
      <c r="E24" s="42"/>
      <c r="F24" s="30"/>
      <c r="G24" s="30"/>
      <c r="H24" s="30"/>
      <c r="I24" s="30"/>
      <c r="J24" s="30"/>
      <c r="K24" s="30"/>
      <c r="L24" s="30"/>
      <c r="M24" s="30"/>
      <c r="N24" s="30"/>
      <c r="O24" s="30"/>
      <c r="P24" s="30"/>
      <c r="Q24" s="30"/>
      <c r="R24" s="30"/>
      <c r="S24" s="30"/>
      <c r="T24" s="30"/>
      <c r="U24" s="30"/>
      <c r="V24" s="30"/>
      <c r="W24" s="30"/>
      <c r="X24" s="30"/>
      <c r="Y24" s="30"/>
      <c r="Z24" s="30"/>
      <c r="AA24" s="30"/>
      <c r="AB24" s="30"/>
      <c r="AC24" s="30"/>
      <c r="AD24" s="30"/>
      <c r="AE24" s="30"/>
      <c r="AF24" s="30"/>
      <c r="AG24" s="30"/>
      <c r="AH24" s="30"/>
      <c r="AI24" s="30"/>
      <c r="AJ24" s="30"/>
      <c r="AK24" s="30"/>
      <c r="AL24" s="30"/>
      <c r="AM24" s="30"/>
      <c r="AN24" s="30"/>
      <c r="AO24" s="30"/>
      <c r="AP24" s="30"/>
      <c r="AQ24" s="30"/>
      <c r="AR24" s="30"/>
      <c r="AS24" s="30"/>
      <c r="AT24" s="30"/>
      <c r="AU24" s="30"/>
      <c r="AV24" s="30"/>
      <c r="AW24" s="30"/>
      <c r="AX24" s="31"/>
    </row>
    <row r="25" spans="1:50" ht="13.5" customHeight="1">
      <c r="A25" s="29"/>
      <c r="C25" s="30"/>
      <c r="D25" s="30"/>
      <c r="E25" s="42"/>
      <c r="F25" s="30"/>
      <c r="G25" s="30"/>
      <c r="H25" s="30"/>
      <c r="I25" s="30"/>
      <c r="J25" s="30"/>
      <c r="K25" s="30"/>
      <c r="L25" s="30"/>
      <c r="M25" s="30"/>
      <c r="N25" s="30"/>
      <c r="O25" s="30"/>
      <c r="P25" s="30"/>
      <c r="Q25" s="30"/>
      <c r="R25" s="30"/>
      <c r="S25" s="30"/>
      <c r="T25" s="30"/>
      <c r="U25" s="30"/>
      <c r="V25" s="30"/>
      <c r="W25" s="30"/>
      <c r="X25" s="30"/>
      <c r="Y25" s="30"/>
      <c r="Z25" s="30"/>
      <c r="AA25" s="30"/>
      <c r="AB25" s="30"/>
      <c r="AC25" s="30"/>
      <c r="AD25" s="30"/>
      <c r="AE25" s="30"/>
      <c r="AF25" s="30"/>
      <c r="AG25" s="30"/>
      <c r="AH25" s="30"/>
      <c r="AI25" s="30"/>
      <c r="AJ25" s="30"/>
      <c r="AK25" s="30"/>
      <c r="AL25" s="30"/>
      <c r="AM25" s="30"/>
      <c r="AN25" s="30"/>
      <c r="AO25" s="30"/>
      <c r="AP25" s="30"/>
      <c r="AQ25" s="30"/>
      <c r="AR25" s="30"/>
      <c r="AS25" s="30"/>
      <c r="AT25" s="30"/>
      <c r="AU25" s="30"/>
      <c r="AV25" s="30"/>
      <c r="AW25" s="30"/>
      <c r="AX25" s="31"/>
    </row>
    <row r="26" spans="1:50" ht="13.5" customHeight="1">
      <c r="A26" s="29"/>
      <c r="B26" s="30" t="s">
        <v>71</v>
      </c>
      <c r="C26" s="30"/>
      <c r="I26" s="30"/>
      <c r="J26" s="30"/>
      <c r="K26" s="30"/>
      <c r="L26" s="30"/>
      <c r="M26" s="30"/>
      <c r="N26" s="30"/>
      <c r="O26" s="30"/>
      <c r="P26" s="30"/>
      <c r="Q26" s="30"/>
      <c r="R26" s="30"/>
      <c r="S26" s="30"/>
      <c r="T26" s="30"/>
      <c r="U26" s="30"/>
      <c r="V26" s="30"/>
      <c r="W26" s="30"/>
      <c r="X26" s="30"/>
      <c r="Y26" s="30"/>
      <c r="Z26" s="30"/>
      <c r="AA26" s="30"/>
      <c r="AB26" s="30"/>
      <c r="AC26" s="30"/>
      <c r="AD26" s="30"/>
      <c r="AE26" s="30"/>
      <c r="AF26" s="30"/>
      <c r="AG26" s="30"/>
      <c r="AH26" s="30"/>
      <c r="AI26" s="30"/>
      <c r="AJ26" s="30"/>
      <c r="AK26" s="30"/>
      <c r="AL26" s="30"/>
      <c r="AM26" s="30"/>
      <c r="AN26" s="30"/>
      <c r="AO26" s="30"/>
      <c r="AP26" s="30"/>
      <c r="AQ26" s="30"/>
      <c r="AR26" s="30"/>
      <c r="AS26" s="30"/>
      <c r="AT26" s="30"/>
      <c r="AU26" s="30"/>
      <c r="AV26" s="30"/>
      <c r="AW26" s="30"/>
      <c r="AX26" s="31"/>
    </row>
    <row r="27" spans="1:50" ht="13.5" customHeight="1">
      <c r="A27" s="29"/>
      <c r="B27" s="30" t="s">
        <v>72</v>
      </c>
      <c r="C27" s="30"/>
      <c r="D27" s="42"/>
      <c r="E27" s="30"/>
      <c r="F27" s="30"/>
      <c r="G27" s="30"/>
      <c r="H27" s="30"/>
      <c r="I27" s="30"/>
      <c r="J27" s="30"/>
      <c r="K27" s="30"/>
      <c r="L27" s="30"/>
      <c r="M27" s="30"/>
      <c r="N27" s="30"/>
      <c r="O27" s="30"/>
      <c r="P27" s="30"/>
      <c r="Q27" s="30"/>
      <c r="R27" s="30"/>
      <c r="S27" s="30"/>
      <c r="T27" s="30"/>
      <c r="U27" s="30"/>
      <c r="V27" s="30"/>
      <c r="W27" s="30"/>
      <c r="X27" s="30"/>
      <c r="Y27" s="30"/>
      <c r="Z27" s="30"/>
      <c r="AA27" s="30"/>
      <c r="AB27" s="30"/>
      <c r="AC27" s="30"/>
      <c r="AD27" s="30"/>
      <c r="AE27" s="30"/>
      <c r="AF27" s="30"/>
      <c r="AG27" s="30"/>
      <c r="AH27" s="30"/>
      <c r="AI27" s="30"/>
      <c r="AJ27" s="30"/>
      <c r="AK27" s="30"/>
      <c r="AL27" s="30"/>
      <c r="AM27" s="30"/>
      <c r="AN27" s="30"/>
      <c r="AO27" s="30"/>
      <c r="AP27" s="30"/>
      <c r="AQ27" s="30"/>
      <c r="AR27" s="30"/>
      <c r="AS27" s="30"/>
      <c r="AT27" s="30"/>
      <c r="AU27" s="30"/>
      <c r="AV27" s="30"/>
      <c r="AW27" s="30"/>
      <c r="AX27" s="31"/>
    </row>
    <row r="28" spans="1:50" ht="13.5" customHeight="1">
      <c r="A28" s="29"/>
      <c r="B28" s="30" t="s">
        <v>73</v>
      </c>
      <c r="C28" s="30"/>
      <c r="D28" s="42"/>
      <c r="E28" s="30"/>
      <c r="F28" s="30"/>
      <c r="G28" s="30"/>
      <c r="H28" s="30"/>
      <c r="I28" s="30"/>
      <c r="J28" s="30"/>
      <c r="K28" s="30"/>
      <c r="L28" s="30"/>
      <c r="M28" s="30"/>
      <c r="N28" s="30"/>
      <c r="O28" s="30"/>
      <c r="P28" s="30"/>
      <c r="Q28" s="30"/>
      <c r="R28" s="30"/>
      <c r="S28" s="30"/>
      <c r="T28" s="30"/>
      <c r="U28" s="30"/>
      <c r="V28" s="30"/>
      <c r="W28" s="30"/>
      <c r="X28" s="30"/>
      <c r="Y28" s="30"/>
      <c r="Z28" s="30"/>
      <c r="AA28" s="30"/>
      <c r="AB28" s="30"/>
      <c r="AC28" s="30"/>
      <c r="AD28" s="30"/>
      <c r="AE28" s="30"/>
      <c r="AF28" s="30"/>
      <c r="AG28" s="30"/>
      <c r="AH28" s="30"/>
      <c r="AI28" s="30"/>
      <c r="AJ28" s="30"/>
      <c r="AK28" s="30"/>
      <c r="AL28" s="30"/>
      <c r="AM28" s="30"/>
      <c r="AN28" s="30"/>
      <c r="AO28" s="30"/>
      <c r="AP28" s="30"/>
      <c r="AQ28" s="30"/>
      <c r="AR28" s="30"/>
      <c r="AS28" s="30"/>
      <c r="AT28" s="30"/>
      <c r="AU28" s="30"/>
      <c r="AV28" s="30"/>
      <c r="AW28" s="30"/>
      <c r="AX28" s="31"/>
    </row>
    <row r="29" spans="1:50" ht="13.5" customHeight="1">
      <c r="A29" s="29"/>
      <c r="B29" s="30"/>
      <c r="C29" s="30"/>
      <c r="G29" s="30"/>
      <c r="H29" s="30"/>
      <c r="I29" s="30"/>
      <c r="J29" s="30"/>
      <c r="K29" s="30"/>
      <c r="L29" s="30"/>
      <c r="M29" s="30"/>
      <c r="N29" s="30"/>
      <c r="O29" s="30"/>
      <c r="P29" s="30"/>
      <c r="Q29" s="30"/>
      <c r="R29" s="30"/>
      <c r="S29" s="30"/>
      <c r="T29" s="30"/>
      <c r="U29" s="30"/>
      <c r="V29" s="30"/>
      <c r="W29" s="30"/>
      <c r="X29" s="30"/>
      <c r="Y29" s="30"/>
      <c r="Z29" s="30"/>
      <c r="AA29" s="30"/>
      <c r="AB29" s="30"/>
      <c r="AC29" s="30"/>
      <c r="AD29" s="30"/>
      <c r="AE29" s="30"/>
      <c r="AF29" s="30"/>
      <c r="AG29" s="30"/>
      <c r="AH29" s="30"/>
      <c r="AI29" s="30"/>
      <c r="AJ29" s="30"/>
      <c r="AK29" s="30"/>
      <c r="AL29" s="30"/>
      <c r="AM29" s="30"/>
      <c r="AN29" s="30"/>
      <c r="AO29" s="30"/>
      <c r="AP29" s="30"/>
      <c r="AQ29" s="30"/>
      <c r="AR29" s="30"/>
      <c r="AS29" s="30"/>
      <c r="AT29" s="30"/>
      <c r="AU29" s="30"/>
      <c r="AV29" s="30"/>
      <c r="AW29" s="30"/>
      <c r="AX29" s="31"/>
    </row>
    <row r="30" spans="1:50" ht="13.5" customHeight="1">
      <c r="A30" s="29"/>
      <c r="B30" s="43" t="s">
        <v>54</v>
      </c>
      <c r="C30" s="30"/>
      <c r="D30" s="30"/>
      <c r="E30" s="30"/>
      <c r="G30" s="30"/>
      <c r="H30" s="30"/>
      <c r="I30" s="30"/>
      <c r="J30" s="30"/>
      <c r="K30" s="30"/>
      <c r="L30" s="30"/>
      <c r="M30" s="30"/>
      <c r="N30" s="30"/>
      <c r="O30" s="30"/>
      <c r="P30" s="30"/>
      <c r="Q30" s="30"/>
      <c r="R30" s="30"/>
      <c r="S30" s="30"/>
      <c r="T30" s="30"/>
      <c r="U30" s="30"/>
      <c r="V30" s="30"/>
      <c r="W30" s="30"/>
      <c r="X30" s="30"/>
      <c r="Y30" s="30"/>
      <c r="Z30" s="30"/>
      <c r="AA30" s="30"/>
      <c r="AB30" s="30"/>
      <c r="AC30" s="30"/>
      <c r="AD30" s="30"/>
      <c r="AE30" s="30"/>
      <c r="AF30" s="30"/>
      <c r="AG30" s="30"/>
      <c r="AH30" s="30"/>
      <c r="AI30" s="30"/>
      <c r="AJ30" s="30"/>
      <c r="AK30" s="30"/>
      <c r="AL30" s="30"/>
      <c r="AM30" s="30"/>
      <c r="AN30" s="30"/>
      <c r="AO30" s="30"/>
      <c r="AP30" s="30"/>
      <c r="AQ30" s="30"/>
      <c r="AR30" s="30"/>
      <c r="AS30" s="30"/>
      <c r="AT30" s="30"/>
      <c r="AU30" s="30"/>
      <c r="AV30" s="30"/>
      <c r="AW30" s="30"/>
      <c r="AX30" s="31"/>
    </row>
    <row r="31" spans="1:50" ht="13.5" customHeight="1">
      <c r="A31" s="29"/>
      <c r="B31" s="1" t="s">
        <v>53</v>
      </c>
      <c r="C31" s="42"/>
      <c r="E31" s="30"/>
      <c r="G31" s="30"/>
      <c r="H31" s="30"/>
      <c r="I31" s="30"/>
      <c r="J31" s="30"/>
      <c r="K31" s="30"/>
      <c r="L31" s="30"/>
      <c r="M31" s="30"/>
      <c r="N31" s="30"/>
      <c r="O31" s="30"/>
      <c r="P31" s="30"/>
      <c r="Q31" s="30"/>
      <c r="R31" s="30"/>
      <c r="S31" s="30"/>
      <c r="T31" s="30"/>
      <c r="U31" s="30"/>
      <c r="V31" s="30"/>
      <c r="W31" s="30"/>
      <c r="X31" s="30"/>
      <c r="Y31" s="30"/>
      <c r="Z31" s="30"/>
      <c r="AA31" s="30"/>
      <c r="AB31" s="30"/>
      <c r="AC31" s="30"/>
      <c r="AD31" s="30"/>
      <c r="AE31" s="30"/>
      <c r="AF31" s="30"/>
      <c r="AG31" s="30"/>
      <c r="AH31" s="30"/>
      <c r="AI31" s="30"/>
      <c r="AJ31" s="30"/>
      <c r="AK31" s="30"/>
      <c r="AL31" s="30"/>
      <c r="AM31" s="30"/>
      <c r="AN31" s="30"/>
      <c r="AO31" s="30"/>
      <c r="AP31" s="30"/>
      <c r="AQ31" s="30"/>
      <c r="AR31" s="30"/>
      <c r="AS31" s="30"/>
      <c r="AT31" s="30"/>
      <c r="AU31" s="30"/>
      <c r="AV31" s="30"/>
      <c r="AW31" s="30"/>
      <c r="AX31" s="31"/>
    </row>
    <row r="32" spans="1:50" ht="13.5" customHeight="1">
      <c r="A32" s="29"/>
      <c r="B32" s="1" t="s">
        <v>52</v>
      </c>
      <c r="C32" s="42" t="s">
        <v>44</v>
      </c>
      <c r="E32" s="30"/>
      <c r="G32" s="30"/>
      <c r="H32" s="30"/>
      <c r="I32" s="30"/>
      <c r="J32" s="30"/>
      <c r="K32" s="30"/>
      <c r="L32" s="30"/>
      <c r="M32" s="30"/>
      <c r="N32" s="30"/>
      <c r="O32" s="30"/>
      <c r="P32" s="30"/>
      <c r="Q32" s="30"/>
      <c r="R32" s="30"/>
      <c r="S32" s="30"/>
      <c r="T32" s="30"/>
      <c r="U32" s="30"/>
      <c r="V32" s="30"/>
      <c r="W32" s="30"/>
      <c r="X32" s="30"/>
      <c r="Y32" s="30"/>
      <c r="Z32" s="30"/>
      <c r="AA32" s="30"/>
      <c r="AB32" s="30"/>
      <c r="AC32" s="30"/>
      <c r="AD32" s="30"/>
      <c r="AE32" s="30"/>
      <c r="AF32" s="30"/>
      <c r="AG32" s="30"/>
      <c r="AH32" s="30"/>
      <c r="AI32" s="30"/>
      <c r="AJ32" s="30"/>
      <c r="AK32" s="30"/>
      <c r="AL32" s="30"/>
      <c r="AM32" s="30"/>
      <c r="AN32" s="30"/>
      <c r="AO32" s="30"/>
      <c r="AP32" s="30"/>
      <c r="AQ32" s="30"/>
      <c r="AR32" s="30"/>
      <c r="AS32" s="30"/>
      <c r="AT32" s="30"/>
      <c r="AU32" s="30"/>
      <c r="AV32" s="30"/>
      <c r="AW32" s="30"/>
      <c r="AX32" s="31"/>
    </row>
    <row r="33" spans="1:50" ht="13.5" customHeight="1">
      <c r="A33" s="29"/>
      <c r="B33" s="1" t="s">
        <v>52</v>
      </c>
      <c r="C33" s="42" t="s">
        <v>45</v>
      </c>
      <c r="E33" s="30"/>
      <c r="I33" s="30"/>
      <c r="J33" s="30"/>
      <c r="K33" s="30"/>
      <c r="L33" s="30"/>
      <c r="M33" s="30"/>
      <c r="N33" s="30"/>
      <c r="O33" s="30"/>
      <c r="P33" s="30"/>
      <c r="Q33" s="30"/>
      <c r="R33" s="30"/>
      <c r="S33" s="30"/>
      <c r="T33" s="30"/>
      <c r="U33" s="30"/>
      <c r="V33" s="30"/>
      <c r="W33" s="30"/>
      <c r="X33" s="30"/>
      <c r="Y33" s="30"/>
      <c r="Z33" s="30"/>
      <c r="AA33" s="30"/>
      <c r="AB33" s="30"/>
      <c r="AC33" s="30"/>
      <c r="AD33" s="30"/>
      <c r="AE33" s="30"/>
      <c r="AF33" s="30"/>
      <c r="AG33" s="30"/>
      <c r="AH33" s="30"/>
      <c r="AI33" s="30"/>
      <c r="AJ33" s="30"/>
      <c r="AK33" s="30"/>
      <c r="AL33" s="30"/>
      <c r="AM33" s="30"/>
      <c r="AN33" s="30"/>
      <c r="AO33" s="30"/>
      <c r="AP33" s="30"/>
      <c r="AQ33" s="30"/>
      <c r="AR33" s="30"/>
      <c r="AS33" s="30"/>
      <c r="AT33" s="30"/>
      <c r="AU33" s="30"/>
      <c r="AV33" s="30"/>
      <c r="AW33" s="30"/>
      <c r="AX33" s="31"/>
    </row>
    <row r="34" spans="1:50" ht="13.5" customHeight="1">
      <c r="A34" s="29"/>
      <c r="B34" s="1" t="s">
        <v>52</v>
      </c>
      <c r="C34" s="42" t="s">
        <v>47</v>
      </c>
      <c r="E34" s="30"/>
      <c r="F34" s="30"/>
      <c r="I34" s="30"/>
      <c r="J34" s="30"/>
      <c r="K34" s="30"/>
      <c r="L34" s="30"/>
      <c r="M34" s="30"/>
      <c r="N34" s="30"/>
      <c r="O34" s="30"/>
      <c r="P34" s="30"/>
      <c r="Q34" s="30"/>
      <c r="R34" s="30"/>
      <c r="S34" s="30"/>
      <c r="T34" s="30"/>
      <c r="U34" s="30"/>
      <c r="V34" s="30"/>
      <c r="W34" s="30"/>
      <c r="X34" s="30"/>
      <c r="Y34" s="30"/>
      <c r="Z34" s="30"/>
      <c r="AA34" s="30"/>
      <c r="AB34" s="30"/>
      <c r="AC34" s="30"/>
      <c r="AD34" s="30"/>
      <c r="AE34" s="30"/>
      <c r="AF34" s="30"/>
      <c r="AG34" s="30"/>
      <c r="AH34" s="30"/>
      <c r="AI34" s="30"/>
      <c r="AJ34" s="30"/>
      <c r="AK34" s="30"/>
      <c r="AL34" s="30"/>
      <c r="AM34" s="30"/>
      <c r="AN34" s="30"/>
      <c r="AO34" s="30"/>
      <c r="AP34" s="30"/>
      <c r="AQ34" s="30"/>
      <c r="AR34" s="30"/>
      <c r="AS34" s="30"/>
      <c r="AT34" s="30"/>
      <c r="AU34" s="30"/>
      <c r="AV34" s="30"/>
      <c r="AW34" s="30"/>
      <c r="AX34" s="31"/>
    </row>
    <row r="35" spans="1:50" ht="13.5" customHeight="1">
      <c r="A35" s="29"/>
      <c r="B35" s="1" t="s">
        <v>52</v>
      </c>
      <c r="C35" s="41" t="s">
        <v>46</v>
      </c>
      <c r="D35" s="30"/>
      <c r="E35" s="30"/>
      <c r="F35" s="30"/>
      <c r="I35" s="30"/>
      <c r="J35" s="30"/>
      <c r="K35" s="30"/>
      <c r="L35" s="30"/>
      <c r="M35" s="30"/>
      <c r="N35" s="30"/>
      <c r="O35" s="30"/>
      <c r="P35" s="30"/>
      <c r="Q35" s="30"/>
      <c r="R35" s="30"/>
      <c r="S35" s="30"/>
      <c r="T35" s="30"/>
      <c r="U35" s="30"/>
      <c r="V35" s="30"/>
      <c r="W35" s="30"/>
      <c r="X35" s="30"/>
      <c r="Y35" s="30"/>
      <c r="Z35" s="30"/>
      <c r="AA35" s="30"/>
      <c r="AB35" s="30"/>
      <c r="AC35" s="30"/>
      <c r="AD35" s="30"/>
      <c r="AE35" s="30"/>
      <c r="AF35" s="30"/>
      <c r="AG35" s="30"/>
      <c r="AH35" s="30"/>
      <c r="AI35" s="30"/>
      <c r="AJ35" s="30"/>
      <c r="AK35" s="30"/>
      <c r="AL35" s="30"/>
      <c r="AM35" s="30"/>
      <c r="AN35" s="30"/>
      <c r="AO35" s="30"/>
      <c r="AP35" s="30"/>
      <c r="AQ35" s="30"/>
      <c r="AR35" s="30"/>
      <c r="AS35" s="30"/>
      <c r="AT35" s="30"/>
      <c r="AU35" s="30"/>
      <c r="AV35" s="30"/>
      <c r="AW35" s="30"/>
      <c r="AX35" s="31"/>
    </row>
    <row r="36" spans="1:50" ht="13.5" customHeight="1">
      <c r="A36" s="29"/>
      <c r="B36" s="30"/>
      <c r="C36" s="30"/>
      <c r="I36" s="30"/>
      <c r="J36" s="30"/>
      <c r="K36" s="30"/>
      <c r="L36" s="30"/>
      <c r="M36" s="30"/>
      <c r="N36" s="30"/>
      <c r="O36" s="30"/>
      <c r="P36" s="30"/>
      <c r="Q36" s="30"/>
      <c r="R36" s="30"/>
      <c r="S36" s="30"/>
      <c r="T36" s="30"/>
      <c r="U36" s="30"/>
      <c r="V36" s="30"/>
      <c r="W36" s="30"/>
      <c r="X36" s="30"/>
      <c r="Y36" s="30"/>
      <c r="Z36" s="30"/>
      <c r="AA36" s="30"/>
      <c r="AB36" s="30"/>
      <c r="AC36" s="30"/>
      <c r="AD36" s="30"/>
      <c r="AE36" s="30"/>
      <c r="AF36" s="30"/>
      <c r="AG36" s="30"/>
      <c r="AH36" s="30"/>
      <c r="AI36" s="30"/>
      <c r="AJ36" s="30"/>
      <c r="AK36" s="30"/>
      <c r="AL36" s="30"/>
      <c r="AM36" s="30"/>
      <c r="AN36" s="30"/>
      <c r="AO36" s="30"/>
      <c r="AP36" s="30"/>
      <c r="AQ36" s="30"/>
      <c r="AR36" s="30"/>
      <c r="AS36" s="30"/>
      <c r="AT36" s="30"/>
      <c r="AU36" s="30"/>
      <c r="AV36" s="30"/>
      <c r="AW36" s="30"/>
      <c r="AX36" s="31"/>
    </row>
    <row r="37" spans="1:50" ht="13.5" customHeight="1">
      <c r="A37" s="29"/>
      <c r="B37" s="30" t="s">
        <v>82</v>
      </c>
      <c r="C37" s="30"/>
      <c r="I37" s="30"/>
      <c r="J37" s="30"/>
      <c r="K37" s="30"/>
      <c r="L37" s="30"/>
      <c r="M37" s="30"/>
      <c r="N37" s="30"/>
      <c r="O37" s="30"/>
      <c r="P37" s="30"/>
      <c r="Q37" s="30"/>
      <c r="R37" s="30"/>
      <c r="S37" s="30"/>
      <c r="T37" s="30"/>
      <c r="U37" s="30"/>
      <c r="V37" s="30"/>
      <c r="W37" s="30"/>
      <c r="X37" s="30"/>
      <c r="Y37" s="30"/>
      <c r="Z37" s="30"/>
      <c r="AA37" s="30"/>
      <c r="AB37" s="30"/>
      <c r="AC37" s="30"/>
      <c r="AD37" s="30"/>
      <c r="AE37" s="30"/>
      <c r="AF37" s="30"/>
      <c r="AG37" s="30"/>
      <c r="AH37" s="30"/>
      <c r="AI37" s="30"/>
      <c r="AJ37" s="30"/>
      <c r="AK37" s="30"/>
      <c r="AL37" s="30"/>
      <c r="AM37" s="30"/>
      <c r="AN37" s="30"/>
      <c r="AO37" s="30"/>
      <c r="AP37" s="30"/>
      <c r="AQ37" s="30"/>
      <c r="AR37" s="30"/>
      <c r="AS37" s="30"/>
      <c r="AT37" s="30"/>
      <c r="AU37" s="30"/>
      <c r="AV37" s="30"/>
      <c r="AW37" s="30"/>
      <c r="AX37" s="31"/>
    </row>
    <row r="38" spans="1:50" ht="13.5" customHeight="1">
      <c r="A38" s="30"/>
      <c r="B38" s="30" t="s">
        <v>52</v>
      </c>
      <c r="C38" s="30" t="s">
        <v>83</v>
      </c>
      <c r="I38" s="30"/>
      <c r="J38" s="30"/>
      <c r="K38" s="30"/>
      <c r="L38" s="30"/>
      <c r="M38" s="30"/>
      <c r="N38" s="30"/>
      <c r="O38" s="30"/>
      <c r="P38" s="30"/>
      <c r="Q38" s="30"/>
      <c r="R38" s="30"/>
      <c r="S38" s="30"/>
      <c r="T38" s="30"/>
      <c r="U38" s="30"/>
      <c r="V38" s="30"/>
      <c r="W38" s="30"/>
      <c r="X38" s="30"/>
      <c r="Y38" s="30"/>
      <c r="Z38" s="30"/>
      <c r="AA38" s="30"/>
      <c r="AB38" s="30"/>
      <c r="AC38" s="30"/>
      <c r="AD38" s="30"/>
      <c r="AE38" s="30"/>
      <c r="AF38" s="30"/>
      <c r="AG38" s="30"/>
      <c r="AH38" s="30"/>
      <c r="AI38" s="30"/>
      <c r="AJ38" s="30"/>
      <c r="AK38" s="30"/>
      <c r="AL38" s="30"/>
      <c r="AM38" s="30"/>
      <c r="AN38" s="30"/>
      <c r="AO38" s="30"/>
      <c r="AP38" s="30"/>
      <c r="AQ38" s="30"/>
      <c r="AR38" s="30"/>
      <c r="AS38" s="30"/>
      <c r="AT38" s="30"/>
      <c r="AU38" s="30"/>
      <c r="AV38" s="30"/>
      <c r="AW38" s="30"/>
      <c r="AX38" s="31"/>
    </row>
    <row r="39" spans="1:50" ht="13.5" customHeight="1">
      <c r="A39" s="29"/>
      <c r="B39" s="30"/>
      <c r="C39" s="30"/>
      <c r="I39" s="30"/>
      <c r="J39" s="30"/>
      <c r="K39" s="30"/>
      <c r="L39" s="30"/>
      <c r="M39" s="30"/>
      <c r="N39" s="30"/>
      <c r="O39" s="30"/>
      <c r="P39" s="30"/>
      <c r="Q39" s="30"/>
      <c r="R39" s="30"/>
      <c r="S39" s="30"/>
      <c r="T39" s="30"/>
      <c r="U39" s="30"/>
      <c r="V39" s="30"/>
      <c r="W39" s="30"/>
      <c r="X39" s="30"/>
      <c r="Y39" s="30"/>
      <c r="Z39" s="30"/>
      <c r="AA39" s="30"/>
      <c r="AB39" s="30"/>
      <c r="AC39" s="30"/>
      <c r="AD39" s="30"/>
      <c r="AE39" s="30"/>
      <c r="AF39" s="30"/>
      <c r="AG39" s="30"/>
      <c r="AH39" s="30"/>
      <c r="AI39" s="30"/>
      <c r="AJ39" s="30"/>
      <c r="AK39" s="30"/>
      <c r="AL39" s="30"/>
      <c r="AM39" s="30"/>
      <c r="AN39" s="30"/>
      <c r="AO39" s="30"/>
      <c r="AP39" s="30"/>
      <c r="AQ39" s="30"/>
      <c r="AR39" s="30"/>
      <c r="AS39" s="30"/>
      <c r="AT39" s="30"/>
      <c r="AU39" s="30"/>
      <c r="AV39" s="30"/>
      <c r="AW39" s="30"/>
      <c r="AX39" s="31"/>
    </row>
    <row r="40" spans="1:50" ht="13.5" customHeight="1">
      <c r="A40" s="29"/>
      <c r="B40" s="30" t="s">
        <v>84</v>
      </c>
      <c r="C40" s="30"/>
      <c r="D40" s="30"/>
      <c r="E40" s="30"/>
      <c r="F40" s="30"/>
      <c r="G40" s="30"/>
      <c r="H40" s="30"/>
      <c r="I40" s="30"/>
      <c r="J40" s="30"/>
      <c r="K40" s="30"/>
      <c r="L40" s="30"/>
      <c r="M40" s="30"/>
      <c r="N40" s="30"/>
      <c r="O40" s="30"/>
      <c r="P40" s="30"/>
      <c r="Q40" s="30"/>
      <c r="R40" s="30"/>
      <c r="S40" s="30"/>
      <c r="T40" s="30"/>
      <c r="U40" s="30"/>
      <c r="V40" s="30"/>
      <c r="W40" s="30"/>
      <c r="X40" s="30"/>
      <c r="Y40" s="30"/>
      <c r="Z40" s="30"/>
      <c r="AA40" s="30"/>
      <c r="AB40" s="30"/>
      <c r="AC40" s="30"/>
      <c r="AD40" s="30"/>
      <c r="AE40" s="30"/>
      <c r="AF40" s="30"/>
      <c r="AG40" s="30"/>
      <c r="AH40" s="30"/>
      <c r="AI40" s="30"/>
      <c r="AJ40" s="30"/>
      <c r="AK40" s="30"/>
      <c r="AL40" s="30"/>
      <c r="AM40" s="30"/>
      <c r="AN40" s="30"/>
      <c r="AO40" s="30"/>
      <c r="AP40" s="30"/>
      <c r="AQ40" s="30"/>
      <c r="AR40" s="30"/>
      <c r="AS40" s="30"/>
      <c r="AT40" s="30"/>
      <c r="AU40" s="30"/>
      <c r="AV40" s="30"/>
      <c r="AW40" s="30"/>
      <c r="AX40" s="31"/>
    </row>
    <row r="41" spans="1:50" ht="13.5" customHeight="1">
      <c r="A41" s="29"/>
      <c r="B41" s="30" t="s">
        <v>52</v>
      </c>
      <c r="C41" s="30" t="s">
        <v>85</v>
      </c>
      <c r="D41" s="30"/>
      <c r="E41" s="30"/>
      <c r="F41" s="30"/>
      <c r="G41" s="30"/>
      <c r="H41" s="30"/>
      <c r="I41" s="30"/>
      <c r="J41" s="30"/>
      <c r="K41" s="30"/>
      <c r="L41" s="30"/>
      <c r="M41" s="30"/>
      <c r="N41" s="30"/>
      <c r="O41" s="30"/>
      <c r="P41" s="30"/>
      <c r="Q41" s="30"/>
      <c r="R41" s="30"/>
      <c r="S41" s="30"/>
      <c r="T41" s="30"/>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1"/>
    </row>
    <row r="42" spans="1:50" ht="13.5" customHeight="1">
      <c r="A42" s="29"/>
      <c r="B42" s="30" t="s">
        <v>52</v>
      </c>
      <c r="C42" s="30" t="s">
        <v>86</v>
      </c>
      <c r="H42" s="30"/>
      <c r="I42" s="30"/>
      <c r="J42" s="30"/>
      <c r="K42" s="30"/>
      <c r="L42" s="30"/>
      <c r="M42" s="30"/>
      <c r="N42" s="30"/>
      <c r="O42" s="30"/>
      <c r="P42" s="30"/>
      <c r="Q42" s="30"/>
      <c r="R42" s="30"/>
      <c r="S42" s="30"/>
      <c r="T42" s="30"/>
      <c r="U42" s="30"/>
      <c r="V42" s="30"/>
      <c r="W42" s="30"/>
      <c r="X42" s="30"/>
      <c r="Y42" s="30"/>
      <c r="Z42" s="30"/>
      <c r="AA42" s="30"/>
      <c r="AB42" s="30"/>
      <c r="AC42" s="30"/>
      <c r="AD42" s="30"/>
      <c r="AE42" s="30"/>
      <c r="AF42" s="30"/>
      <c r="AG42" s="30"/>
      <c r="AH42" s="30"/>
      <c r="AI42" s="30"/>
      <c r="AJ42" s="30"/>
      <c r="AK42" s="30"/>
      <c r="AL42" s="30"/>
      <c r="AM42" s="30"/>
      <c r="AN42" s="30"/>
      <c r="AO42" s="30"/>
      <c r="AP42" s="30"/>
      <c r="AQ42" s="30"/>
      <c r="AR42" s="30"/>
      <c r="AS42" s="30"/>
      <c r="AT42" s="30"/>
      <c r="AU42" s="30"/>
      <c r="AV42" s="30"/>
      <c r="AW42" s="30"/>
      <c r="AX42" s="31"/>
    </row>
    <row r="43" spans="1:50" ht="13.5" customHeight="1">
      <c r="A43" s="29"/>
      <c r="B43" s="30" t="s">
        <v>52</v>
      </c>
      <c r="C43" s="30" t="s">
        <v>87</v>
      </c>
      <c r="H43" s="30"/>
      <c r="I43" s="30"/>
      <c r="J43" s="30"/>
      <c r="K43" s="30"/>
      <c r="L43" s="30"/>
      <c r="M43" s="30"/>
      <c r="N43" s="30"/>
      <c r="O43" s="30"/>
      <c r="P43" s="30"/>
      <c r="Q43" s="30"/>
      <c r="R43" s="30"/>
      <c r="S43" s="30"/>
      <c r="T43" s="30"/>
      <c r="U43" s="30"/>
      <c r="V43" s="30"/>
      <c r="W43" s="30"/>
      <c r="X43" s="30"/>
      <c r="Y43" s="30"/>
      <c r="Z43" s="30"/>
      <c r="AA43" s="30"/>
      <c r="AB43" s="30"/>
      <c r="AC43" s="30"/>
      <c r="AD43" s="30"/>
      <c r="AE43" s="30"/>
      <c r="AF43" s="30"/>
      <c r="AG43" s="30"/>
      <c r="AH43" s="30"/>
      <c r="AI43" s="30"/>
      <c r="AJ43" s="30"/>
      <c r="AK43" s="30"/>
      <c r="AL43" s="30"/>
      <c r="AM43" s="30"/>
      <c r="AN43" s="30"/>
      <c r="AO43" s="30"/>
      <c r="AP43" s="30"/>
      <c r="AQ43" s="30"/>
      <c r="AR43" s="30"/>
      <c r="AS43" s="30"/>
      <c r="AT43" s="30"/>
      <c r="AU43" s="30"/>
      <c r="AV43" s="30"/>
      <c r="AW43" s="30"/>
      <c r="AX43" s="31"/>
    </row>
    <row r="44" spans="1:50" ht="13.5" customHeight="1">
      <c r="A44" s="29"/>
      <c r="B44" s="30"/>
      <c r="I44" s="30"/>
      <c r="J44" s="30"/>
      <c r="K44" s="30"/>
      <c r="L44" s="30"/>
      <c r="M44" s="30"/>
      <c r="N44" s="30"/>
      <c r="O44" s="30"/>
      <c r="P44" s="30"/>
      <c r="Q44" s="30"/>
      <c r="R44" s="30"/>
      <c r="S44" s="30"/>
      <c r="T44" s="30"/>
      <c r="U44" s="30"/>
      <c r="V44" s="30"/>
      <c r="W44" s="30"/>
      <c r="X44" s="30"/>
      <c r="Y44" s="30"/>
      <c r="Z44" s="30"/>
      <c r="AA44" s="30"/>
      <c r="AB44" s="30"/>
      <c r="AC44" s="30"/>
      <c r="AD44" s="30"/>
      <c r="AE44" s="30"/>
      <c r="AF44" s="30"/>
      <c r="AG44" s="30"/>
      <c r="AH44" s="30"/>
      <c r="AI44" s="30"/>
      <c r="AJ44" s="30"/>
      <c r="AK44" s="30"/>
      <c r="AL44" s="30"/>
      <c r="AM44" s="30"/>
      <c r="AN44" s="30"/>
      <c r="AO44" s="30"/>
      <c r="AP44" s="30"/>
      <c r="AQ44" s="30"/>
      <c r="AR44" s="30"/>
      <c r="AS44" s="30"/>
      <c r="AT44" s="30"/>
      <c r="AU44" s="30"/>
      <c r="AV44" s="30"/>
      <c r="AW44" s="30"/>
      <c r="AX44" s="31"/>
    </row>
    <row r="45" spans="1:50" ht="13.5" customHeight="1">
      <c r="A45" s="29"/>
      <c r="B45" s="30" t="s">
        <v>88</v>
      </c>
      <c r="I45" s="30"/>
      <c r="J45" s="30"/>
      <c r="K45" s="30"/>
      <c r="L45" s="30"/>
      <c r="M45" s="30"/>
      <c r="N45" s="30"/>
      <c r="O45" s="30"/>
      <c r="P45" s="30"/>
      <c r="Q45" s="30"/>
      <c r="R45" s="30"/>
      <c r="S45" s="30"/>
      <c r="T45" s="30"/>
      <c r="U45" s="30"/>
      <c r="V45" s="30"/>
      <c r="W45" s="30"/>
      <c r="X45" s="30"/>
      <c r="Y45" s="30"/>
      <c r="Z45" s="30"/>
      <c r="AA45" s="30"/>
      <c r="AB45" s="30"/>
      <c r="AC45" s="30"/>
      <c r="AD45" s="30"/>
      <c r="AE45" s="30"/>
      <c r="AF45" s="30"/>
      <c r="AG45" s="30"/>
      <c r="AH45" s="30"/>
      <c r="AI45" s="30"/>
      <c r="AJ45" s="30"/>
      <c r="AK45" s="30"/>
      <c r="AL45" s="30"/>
      <c r="AM45" s="30"/>
      <c r="AN45" s="30"/>
      <c r="AO45" s="30"/>
      <c r="AP45" s="30"/>
      <c r="AQ45" s="30"/>
      <c r="AR45" s="30"/>
      <c r="AS45" s="30"/>
      <c r="AT45" s="30"/>
      <c r="AU45" s="30"/>
      <c r="AV45" s="30"/>
      <c r="AW45" s="30"/>
      <c r="AX45" s="31"/>
    </row>
    <row r="46" spans="1:50" ht="13.5" customHeight="1">
      <c r="A46" s="29"/>
      <c r="B46" s="30" t="s">
        <v>52</v>
      </c>
      <c r="C46" s="30" t="s">
        <v>89</v>
      </c>
      <c r="I46" s="30"/>
      <c r="J46" s="30"/>
      <c r="K46" s="30"/>
      <c r="L46" s="30"/>
      <c r="M46" s="30"/>
      <c r="N46" s="30"/>
      <c r="O46" s="30"/>
      <c r="P46" s="30"/>
      <c r="Q46" s="30"/>
      <c r="R46" s="30"/>
      <c r="S46" s="30"/>
      <c r="T46" s="30"/>
      <c r="U46" s="30"/>
      <c r="V46" s="30"/>
      <c r="W46" s="30"/>
      <c r="X46" s="30"/>
      <c r="Y46" s="30"/>
      <c r="Z46" s="30"/>
      <c r="AA46" s="30"/>
      <c r="AB46" s="30"/>
      <c r="AC46" s="30"/>
      <c r="AD46" s="30"/>
      <c r="AE46" s="30"/>
      <c r="AF46" s="30"/>
      <c r="AG46" s="30"/>
      <c r="AH46" s="30"/>
      <c r="AI46" s="30"/>
      <c r="AJ46" s="30"/>
      <c r="AK46" s="30"/>
      <c r="AL46" s="30"/>
      <c r="AM46" s="30"/>
      <c r="AN46" s="30"/>
      <c r="AO46" s="30"/>
      <c r="AP46" s="30"/>
      <c r="AQ46" s="30"/>
      <c r="AR46" s="30"/>
      <c r="AS46" s="30"/>
      <c r="AT46" s="30"/>
      <c r="AU46" s="30"/>
      <c r="AV46" s="30"/>
      <c r="AW46" s="30"/>
      <c r="AX46" s="31"/>
    </row>
    <row r="47" spans="1:50" ht="13.5" customHeight="1">
      <c r="A47" s="29"/>
      <c r="B47" s="30" t="s">
        <v>52</v>
      </c>
      <c r="C47" s="1" t="s">
        <v>90</v>
      </c>
      <c r="I47" s="30"/>
      <c r="J47" s="30"/>
      <c r="K47" s="30"/>
      <c r="L47" s="30"/>
      <c r="M47" s="30"/>
      <c r="N47" s="30"/>
      <c r="O47" s="30"/>
      <c r="P47" s="30"/>
      <c r="Q47" s="30"/>
      <c r="R47" s="30"/>
      <c r="S47" s="30"/>
      <c r="T47" s="30"/>
      <c r="U47" s="30"/>
      <c r="V47" s="30"/>
      <c r="W47" s="30"/>
      <c r="X47" s="30"/>
      <c r="Y47" s="30"/>
      <c r="Z47" s="30"/>
      <c r="AA47" s="30"/>
      <c r="AB47" s="30"/>
      <c r="AC47" s="30"/>
      <c r="AD47" s="30"/>
      <c r="AE47" s="30"/>
      <c r="AF47" s="30"/>
      <c r="AG47" s="30"/>
      <c r="AH47" s="30"/>
      <c r="AI47" s="30"/>
      <c r="AJ47" s="30"/>
      <c r="AK47" s="30"/>
      <c r="AL47" s="30"/>
      <c r="AM47" s="30"/>
      <c r="AN47" s="30"/>
      <c r="AO47" s="30"/>
      <c r="AP47" s="30"/>
      <c r="AQ47" s="30"/>
      <c r="AR47" s="30"/>
      <c r="AS47" s="30"/>
      <c r="AT47" s="30"/>
      <c r="AU47" s="30"/>
      <c r="AV47" s="30"/>
      <c r="AW47" s="30"/>
      <c r="AX47" s="31"/>
    </row>
    <row r="48" spans="1:50" ht="13.5" customHeight="1">
      <c r="A48" s="29"/>
      <c r="B48" s="30"/>
      <c r="I48" s="30"/>
      <c r="J48" s="30"/>
      <c r="K48" s="30"/>
      <c r="L48" s="30"/>
      <c r="M48" s="30"/>
      <c r="N48" s="30"/>
      <c r="O48" s="30"/>
      <c r="P48" s="30"/>
      <c r="Q48" s="30"/>
      <c r="R48" s="30"/>
      <c r="S48" s="30"/>
      <c r="T48" s="30"/>
      <c r="U48" s="30"/>
      <c r="V48" s="30"/>
      <c r="W48" s="30"/>
      <c r="X48" s="30"/>
      <c r="Y48" s="30"/>
      <c r="Z48" s="30"/>
      <c r="AA48" s="30"/>
      <c r="AB48" s="30"/>
      <c r="AC48" s="30"/>
      <c r="AD48" s="30"/>
      <c r="AE48" s="30"/>
      <c r="AF48" s="30"/>
      <c r="AG48" s="30"/>
      <c r="AH48" s="30"/>
      <c r="AI48" s="30"/>
      <c r="AJ48" s="30"/>
      <c r="AK48" s="30"/>
      <c r="AL48" s="30"/>
      <c r="AM48" s="30"/>
      <c r="AN48" s="30"/>
      <c r="AO48" s="30"/>
      <c r="AP48" s="30"/>
      <c r="AQ48" s="30"/>
      <c r="AR48" s="30"/>
      <c r="AS48" s="30"/>
      <c r="AT48" s="30"/>
      <c r="AU48" s="30"/>
      <c r="AV48" s="30"/>
      <c r="AW48" s="30"/>
      <c r="AX48" s="31"/>
    </row>
    <row r="49" spans="1:50" ht="13.5" customHeight="1">
      <c r="A49" s="29"/>
      <c r="B49" s="30"/>
      <c r="H49" s="30"/>
      <c r="I49" s="30"/>
      <c r="J49" s="30"/>
      <c r="K49" s="30"/>
      <c r="L49" s="30"/>
      <c r="M49" s="30"/>
      <c r="N49" s="30"/>
      <c r="O49" s="30"/>
      <c r="P49" s="30"/>
      <c r="Q49" s="30"/>
      <c r="R49" s="30"/>
      <c r="S49" s="30"/>
      <c r="T49" s="30"/>
      <c r="U49" s="30"/>
      <c r="V49" s="30"/>
      <c r="W49" s="30"/>
      <c r="X49" s="30"/>
      <c r="Y49" s="30"/>
      <c r="Z49" s="30"/>
      <c r="AA49" s="30"/>
      <c r="AB49" s="30"/>
      <c r="AC49" s="30"/>
      <c r="AD49" s="30"/>
      <c r="AE49" s="30"/>
      <c r="AF49" s="30"/>
      <c r="AG49" s="30"/>
      <c r="AH49" s="30"/>
      <c r="AI49" s="30"/>
      <c r="AJ49" s="30"/>
      <c r="AK49" s="30"/>
      <c r="AL49" s="30"/>
      <c r="AM49" s="30"/>
      <c r="AN49" s="30"/>
      <c r="AO49" s="30"/>
      <c r="AP49" s="30"/>
      <c r="AQ49" s="30"/>
      <c r="AR49" s="30"/>
      <c r="AS49" s="30"/>
      <c r="AT49" s="30"/>
      <c r="AU49" s="30"/>
      <c r="AV49" s="30"/>
      <c r="AW49" s="30"/>
      <c r="AX49" s="31"/>
    </row>
    <row r="50" spans="1:50" ht="13.5" customHeight="1">
      <c r="A50" s="29"/>
      <c r="B50" s="30"/>
      <c r="H50" s="30"/>
      <c r="I50" s="30"/>
      <c r="J50" s="30"/>
      <c r="K50" s="30"/>
      <c r="L50" s="30"/>
      <c r="M50" s="30"/>
      <c r="N50" s="30"/>
      <c r="O50" s="30"/>
      <c r="P50" s="30"/>
      <c r="Q50" s="30"/>
      <c r="R50" s="30"/>
      <c r="S50" s="30"/>
      <c r="T50" s="30"/>
      <c r="U50" s="30"/>
      <c r="V50" s="30"/>
      <c r="W50" s="30"/>
      <c r="X50" s="30"/>
      <c r="Y50" s="30"/>
      <c r="Z50" s="30"/>
      <c r="AA50" s="30"/>
      <c r="AB50" s="30"/>
      <c r="AC50" s="30"/>
      <c r="AD50" s="30"/>
      <c r="AE50" s="30"/>
      <c r="AF50" s="30"/>
      <c r="AG50" s="30"/>
      <c r="AH50" s="30"/>
      <c r="AI50" s="30"/>
      <c r="AJ50" s="30"/>
      <c r="AK50" s="30"/>
      <c r="AL50" s="30"/>
      <c r="AM50" s="30"/>
      <c r="AN50" s="30"/>
      <c r="AO50" s="30"/>
      <c r="AP50" s="30"/>
      <c r="AQ50" s="30"/>
      <c r="AR50" s="30"/>
      <c r="AS50" s="30"/>
      <c r="AT50" s="30"/>
      <c r="AU50" s="30"/>
      <c r="AV50" s="30"/>
      <c r="AW50" s="30"/>
      <c r="AX50" s="31"/>
    </row>
    <row r="51" spans="1:50" ht="13.5" customHeight="1">
      <c r="A51" s="29"/>
      <c r="B51" s="30"/>
      <c r="E51" s="30"/>
      <c r="F51" s="30"/>
      <c r="G51" s="30"/>
      <c r="H51" s="30"/>
      <c r="I51" s="30"/>
      <c r="J51" s="30"/>
      <c r="K51" s="30"/>
      <c r="L51" s="30"/>
      <c r="M51" s="30"/>
      <c r="N51" s="30"/>
      <c r="O51" s="30"/>
      <c r="P51" s="30"/>
      <c r="Q51" s="30"/>
      <c r="R51" s="30"/>
      <c r="S51" s="30"/>
      <c r="T51" s="30"/>
      <c r="U51" s="30"/>
      <c r="V51" s="30"/>
      <c r="W51" s="30"/>
      <c r="X51" s="30"/>
      <c r="Y51" s="30"/>
      <c r="Z51" s="30"/>
      <c r="AA51" s="30"/>
      <c r="AB51" s="30"/>
      <c r="AC51" s="30"/>
      <c r="AD51" s="30"/>
      <c r="AE51" s="30"/>
      <c r="AF51" s="30"/>
      <c r="AG51" s="30"/>
      <c r="AH51" s="30"/>
      <c r="AI51" s="30"/>
      <c r="AJ51" s="30"/>
      <c r="AK51" s="30"/>
      <c r="AL51" s="30"/>
      <c r="AM51" s="30"/>
      <c r="AN51" s="30"/>
      <c r="AO51" s="30"/>
      <c r="AP51" s="30"/>
      <c r="AQ51" s="30"/>
      <c r="AR51" s="30"/>
      <c r="AS51" s="30"/>
      <c r="AT51" s="30"/>
      <c r="AU51" s="30"/>
      <c r="AV51" s="30"/>
      <c r="AW51" s="30"/>
      <c r="AX51" s="31"/>
    </row>
    <row r="52" spans="1:50" ht="13.5" customHeight="1">
      <c r="A52" s="29"/>
      <c r="B52" s="30"/>
      <c r="C52" s="30"/>
      <c r="D52" s="30"/>
      <c r="E52" s="30"/>
      <c r="F52" s="30"/>
      <c r="G52" s="30"/>
      <c r="H52" s="30"/>
      <c r="I52" s="30"/>
      <c r="J52" s="30"/>
      <c r="K52" s="30"/>
      <c r="L52" s="30"/>
      <c r="M52" s="30"/>
      <c r="N52" s="30"/>
      <c r="O52" s="30"/>
      <c r="P52" s="30"/>
      <c r="Q52" s="30"/>
      <c r="R52" s="30"/>
      <c r="S52" s="30"/>
      <c r="T52" s="30"/>
      <c r="U52" s="30"/>
      <c r="V52" s="30"/>
      <c r="W52" s="30"/>
      <c r="X52" s="30"/>
      <c r="Y52" s="30"/>
      <c r="Z52" s="30"/>
      <c r="AA52" s="30"/>
      <c r="AB52" s="30"/>
      <c r="AC52" s="30"/>
      <c r="AD52" s="30"/>
      <c r="AE52" s="30"/>
      <c r="AF52" s="30"/>
      <c r="AG52" s="30"/>
      <c r="AH52" s="30"/>
      <c r="AI52" s="30"/>
      <c r="AJ52" s="30"/>
      <c r="AK52" s="30"/>
      <c r="AL52" s="30"/>
      <c r="AM52" s="30"/>
      <c r="AN52" s="30"/>
      <c r="AO52" s="30"/>
      <c r="AP52" s="30"/>
      <c r="AQ52" s="30"/>
      <c r="AR52" s="30"/>
      <c r="AS52" s="30"/>
      <c r="AT52" s="30"/>
      <c r="AU52" s="30"/>
      <c r="AV52" s="30"/>
      <c r="AW52" s="30"/>
      <c r="AX52" s="31"/>
    </row>
    <row r="53" spans="1:50" ht="13.5" customHeight="1">
      <c r="A53" s="29"/>
      <c r="B53" s="30"/>
      <c r="C53" s="30"/>
      <c r="D53" s="30"/>
      <c r="E53" s="30"/>
      <c r="F53" s="30"/>
      <c r="G53" s="30"/>
      <c r="H53" s="30"/>
      <c r="I53" s="30"/>
      <c r="J53" s="30"/>
      <c r="K53" s="30"/>
      <c r="L53" s="30"/>
      <c r="M53" s="30"/>
      <c r="N53" s="30"/>
      <c r="O53" s="30"/>
      <c r="P53" s="30"/>
      <c r="Q53" s="30"/>
      <c r="R53" s="30"/>
      <c r="S53" s="30"/>
      <c r="T53" s="30"/>
      <c r="U53" s="30"/>
      <c r="V53" s="30"/>
      <c r="W53" s="30"/>
      <c r="X53" s="30"/>
      <c r="Y53" s="30"/>
      <c r="Z53" s="30"/>
      <c r="AA53" s="30"/>
      <c r="AB53" s="30"/>
      <c r="AC53" s="30"/>
      <c r="AD53" s="30"/>
      <c r="AE53" s="30"/>
      <c r="AF53" s="30"/>
      <c r="AG53" s="30"/>
      <c r="AH53" s="30"/>
      <c r="AI53" s="30"/>
      <c r="AJ53" s="30"/>
      <c r="AK53" s="30"/>
      <c r="AL53" s="30"/>
      <c r="AM53" s="30"/>
      <c r="AN53" s="30"/>
      <c r="AO53" s="30"/>
      <c r="AP53" s="30"/>
      <c r="AQ53" s="30"/>
      <c r="AR53" s="30"/>
      <c r="AS53" s="30"/>
      <c r="AT53" s="30"/>
      <c r="AU53" s="30"/>
      <c r="AV53" s="30"/>
      <c r="AW53" s="30"/>
      <c r="AX53" s="31"/>
    </row>
    <row r="54" spans="1:50" ht="13.5" customHeight="1">
      <c r="A54" s="29"/>
      <c r="B54" s="30"/>
      <c r="C54" s="30"/>
      <c r="D54" s="30"/>
      <c r="E54" s="30"/>
      <c r="F54" s="30"/>
      <c r="G54" s="30"/>
      <c r="H54" s="30"/>
      <c r="I54" s="30"/>
      <c r="J54" s="30"/>
      <c r="K54" s="30"/>
      <c r="L54" s="30"/>
      <c r="M54" s="30"/>
      <c r="N54" s="30"/>
      <c r="O54" s="30"/>
      <c r="P54" s="30"/>
      <c r="Q54" s="30"/>
      <c r="R54" s="30"/>
      <c r="S54" s="30"/>
      <c r="T54" s="30"/>
      <c r="U54" s="30"/>
      <c r="V54" s="30"/>
      <c r="W54" s="30"/>
      <c r="X54" s="30"/>
      <c r="Y54" s="30"/>
      <c r="Z54" s="30"/>
      <c r="AA54" s="30"/>
      <c r="AB54" s="30"/>
      <c r="AC54" s="30"/>
      <c r="AD54" s="30"/>
      <c r="AE54" s="30"/>
      <c r="AF54" s="30"/>
      <c r="AG54" s="30"/>
      <c r="AH54" s="30"/>
      <c r="AI54" s="30"/>
      <c r="AJ54" s="30"/>
      <c r="AK54" s="30"/>
      <c r="AL54" s="30"/>
      <c r="AM54" s="30"/>
      <c r="AN54" s="30"/>
      <c r="AO54" s="30"/>
      <c r="AP54" s="30"/>
      <c r="AQ54" s="30"/>
      <c r="AR54" s="30"/>
      <c r="AS54" s="30"/>
      <c r="AT54" s="30"/>
      <c r="AU54" s="30"/>
      <c r="AV54" s="30"/>
      <c r="AW54" s="30"/>
      <c r="AX54" s="31"/>
    </row>
    <row r="55" spans="1:50" ht="13.5" customHeight="1">
      <c r="A55" s="36"/>
      <c r="B55" s="37"/>
      <c r="C55" s="37"/>
      <c r="D55" s="37"/>
      <c r="E55" s="37"/>
      <c r="F55" s="37"/>
      <c r="G55" s="37"/>
      <c r="H55" s="37"/>
      <c r="I55" s="37"/>
      <c r="J55" s="37"/>
      <c r="K55" s="37"/>
      <c r="L55" s="37"/>
      <c r="M55" s="37"/>
      <c r="N55" s="37"/>
      <c r="O55" s="37"/>
      <c r="P55" s="37"/>
      <c r="Q55" s="37"/>
      <c r="R55" s="37"/>
      <c r="S55" s="37"/>
      <c r="T55" s="37"/>
      <c r="U55" s="37"/>
      <c r="V55" s="37"/>
      <c r="W55" s="37"/>
      <c r="X55" s="37"/>
      <c r="Y55" s="37"/>
      <c r="Z55" s="37"/>
      <c r="AA55" s="37"/>
      <c r="AB55" s="37"/>
      <c r="AC55" s="37"/>
      <c r="AD55" s="37"/>
      <c r="AE55" s="37"/>
      <c r="AF55" s="37"/>
      <c r="AG55" s="37"/>
      <c r="AH55" s="37"/>
      <c r="AI55" s="37"/>
      <c r="AJ55" s="37"/>
      <c r="AK55" s="37"/>
      <c r="AL55" s="37"/>
      <c r="AM55" s="37"/>
      <c r="AN55" s="37"/>
      <c r="AO55" s="37"/>
      <c r="AP55" s="37"/>
      <c r="AQ55" s="37"/>
      <c r="AR55" s="37"/>
      <c r="AS55" s="37"/>
      <c r="AT55" s="37"/>
      <c r="AU55" s="37"/>
      <c r="AV55" s="37"/>
      <c r="AW55" s="37"/>
      <c r="AX55" s="38"/>
    </row>
    <row r="56" spans="1:50">
      <c r="J56" s="27"/>
    </row>
  </sheetData>
  <mergeCells count="16">
    <mergeCell ref="AX1:BA1"/>
    <mergeCell ref="BB1:BF1"/>
    <mergeCell ref="A2:F2"/>
    <mergeCell ref="G2:X2"/>
    <mergeCell ref="Y2:AD2"/>
    <mergeCell ref="AE2:AN2"/>
    <mergeCell ref="AO2:AR2"/>
    <mergeCell ref="AS2:AW2"/>
    <mergeCell ref="AX2:BA2"/>
    <mergeCell ref="BB2:BF2"/>
    <mergeCell ref="A1:F1"/>
    <mergeCell ref="G1:X1"/>
    <mergeCell ref="Y1:AD1"/>
    <mergeCell ref="AE1:AN1"/>
    <mergeCell ref="AO1:AR1"/>
    <mergeCell ref="AS1:AW1"/>
  </mergeCells>
  <phoneticPr fontId="9"/>
  <hyperlinks>
    <hyperlink ref="B6" r:id="rId1" xr:uid="{2D2DF538-CDF3-47D6-93E4-8B2DC10D775F}"/>
    <hyperlink ref="B8" r:id="rId2" location="google_vignette" xr:uid="{767980A0-51C4-48A2-AF03-3842F9066BC6}"/>
  </hyperlinks>
  <pageMargins left="0.7" right="0.7" top="0.75" bottom="0.75" header="0.3" footer="0.3"/>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F53"/>
  <sheetViews>
    <sheetView zoomScaleNormal="100" workbookViewId="0">
      <selection activeCell="M41" sqref="M41"/>
    </sheetView>
  </sheetViews>
  <sheetFormatPr baseColWidth="10" defaultColWidth="2.6640625" defaultRowHeight="14"/>
  <cols>
    <col min="1" max="16384" width="2.6640625" style="1"/>
  </cols>
  <sheetData>
    <row r="1" spans="1:58">
      <c r="A1" s="60" t="s">
        <v>27</v>
      </c>
      <c r="B1" s="60"/>
      <c r="C1" s="60"/>
      <c r="D1" s="60"/>
      <c r="E1" s="60"/>
      <c r="F1" s="60"/>
      <c r="G1" s="67" t="str">
        <f ca="1">IF(ISBLANK(改訂履歴!G1),"",(改訂履歴!G1))</f>
        <v>DOC00001_詳細設計書_MIPG00001_テトリス_VBA</v>
      </c>
      <c r="H1" s="67"/>
      <c r="I1" s="67"/>
      <c r="J1" s="67"/>
      <c r="K1" s="67"/>
      <c r="L1" s="67"/>
      <c r="M1" s="67"/>
      <c r="N1" s="67"/>
      <c r="O1" s="67"/>
      <c r="P1" s="67"/>
      <c r="Q1" s="67"/>
      <c r="R1" s="67"/>
      <c r="S1" s="67"/>
      <c r="T1" s="67"/>
      <c r="U1" s="67"/>
      <c r="V1" s="67"/>
      <c r="W1" s="67"/>
      <c r="X1" s="67"/>
      <c r="Y1" s="60" t="s">
        <v>28</v>
      </c>
      <c r="Z1" s="60"/>
      <c r="AA1" s="60"/>
      <c r="AB1" s="60"/>
      <c r="AC1" s="60"/>
      <c r="AD1" s="60"/>
      <c r="AE1" s="67" t="str">
        <f ca="1">IF(ISBLANK(改訂履歴!$AE$1),"",(改訂履歴!$AE$1))</f>
        <v>DOC00001</v>
      </c>
      <c r="AF1" s="67"/>
      <c r="AG1" s="67"/>
      <c r="AH1" s="67"/>
      <c r="AI1" s="67"/>
      <c r="AJ1" s="67"/>
      <c r="AK1" s="67"/>
      <c r="AL1" s="67"/>
      <c r="AM1" s="67"/>
      <c r="AN1" s="67"/>
      <c r="AO1" s="60" t="s">
        <v>30</v>
      </c>
      <c r="AP1" s="60"/>
      <c r="AQ1" s="60"/>
      <c r="AR1" s="60"/>
      <c r="AS1" s="61" t="str">
        <f>IF(ISBLANK(改訂履歴!AS1),"",(改訂履歴!AS1))</f>
        <v>第1版</v>
      </c>
      <c r="AT1" s="62"/>
      <c r="AU1" s="62"/>
      <c r="AV1" s="62"/>
      <c r="AW1" s="63"/>
      <c r="AX1" s="60" t="s">
        <v>32</v>
      </c>
      <c r="AY1" s="60"/>
      <c r="AZ1" s="60"/>
      <c r="BA1" s="60"/>
      <c r="BB1" s="71" t="str">
        <f ca="1">IF(ISBLANK(改訂履歴!BB1),"",(改訂履歴!BB1))</f>
        <v>水谷</v>
      </c>
      <c r="BC1" s="72"/>
      <c r="BD1" s="72"/>
      <c r="BE1" s="72"/>
      <c r="BF1" s="73"/>
    </row>
    <row r="2" spans="1:58">
      <c r="A2" s="60" t="s">
        <v>0</v>
      </c>
      <c r="B2" s="60"/>
      <c r="C2" s="60"/>
      <c r="D2" s="60"/>
      <c r="E2" s="60"/>
      <c r="F2" s="60"/>
      <c r="G2" s="67" t="str">
        <f ca="1">IF(ISBLANK(改訂履歴!G2),"",(改訂履歴!G2))</f>
        <v>テトリス_VBA</v>
      </c>
      <c r="H2" s="67"/>
      <c r="I2" s="67"/>
      <c r="J2" s="67"/>
      <c r="K2" s="67"/>
      <c r="L2" s="67"/>
      <c r="M2" s="67"/>
      <c r="N2" s="67"/>
      <c r="O2" s="67"/>
      <c r="P2" s="67"/>
      <c r="Q2" s="67"/>
      <c r="R2" s="67"/>
      <c r="S2" s="67"/>
      <c r="T2" s="67"/>
      <c r="U2" s="67"/>
      <c r="V2" s="67"/>
      <c r="W2" s="67"/>
      <c r="X2" s="67"/>
      <c r="Y2" s="60" t="s">
        <v>4</v>
      </c>
      <c r="Z2" s="60"/>
      <c r="AA2" s="60"/>
      <c r="AB2" s="60"/>
      <c r="AC2" s="60"/>
      <c r="AD2" s="60"/>
      <c r="AE2" s="67" t="str">
        <f ca="1">IF(ISBLANK(改訂履歴!$AE$2),"",(改訂履歴!$AE$2))</f>
        <v>MIPG00001</v>
      </c>
      <c r="AF2" s="67"/>
      <c r="AG2" s="67"/>
      <c r="AH2" s="67"/>
      <c r="AI2" s="67"/>
      <c r="AJ2" s="67"/>
      <c r="AK2" s="67"/>
      <c r="AL2" s="67"/>
      <c r="AM2" s="67"/>
      <c r="AN2" s="67"/>
      <c r="AO2" s="60" t="s">
        <v>31</v>
      </c>
      <c r="AP2" s="60"/>
      <c r="AQ2" s="60"/>
      <c r="AR2" s="60"/>
      <c r="AS2" s="64">
        <f>IF(ISBLANK(改訂履歴!AS2),"",(改訂履歴!AS2))</f>
        <v>44871</v>
      </c>
      <c r="AT2" s="65"/>
      <c r="AU2" s="65"/>
      <c r="AV2" s="65"/>
      <c r="AW2" s="66"/>
      <c r="AX2" s="60" t="s">
        <v>33</v>
      </c>
      <c r="AY2" s="60"/>
      <c r="AZ2" s="60"/>
      <c r="BA2" s="60"/>
      <c r="BB2" s="64">
        <f ca="1">IF(ISBLANK(改訂履歴!BB2),"",(改訂履歴!BB2))</f>
        <v>44871</v>
      </c>
      <c r="BC2" s="65"/>
      <c r="BD2" s="65"/>
      <c r="BE2" s="65"/>
      <c r="BF2" s="66"/>
    </row>
    <row r="3" spans="1:58">
      <c r="B3" s="2"/>
    </row>
    <row r="4" spans="1:58">
      <c r="A4" s="3" t="s">
        <v>24</v>
      </c>
      <c r="B4" s="4"/>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4"/>
      <c r="AX4" s="4"/>
      <c r="AY4" s="4"/>
      <c r="AZ4" s="4"/>
      <c r="BA4" s="4"/>
      <c r="BB4" s="4"/>
      <c r="BC4" s="4"/>
      <c r="BD4" s="4"/>
      <c r="BE4" s="4"/>
      <c r="BF4" s="5"/>
    </row>
    <row r="5" spans="1:58">
      <c r="A5" s="26"/>
      <c r="B5" s="27"/>
      <c r="C5" s="27"/>
      <c r="D5" s="27"/>
      <c r="E5" s="27"/>
      <c r="F5" s="27"/>
      <c r="G5" s="27"/>
      <c r="H5" s="27"/>
      <c r="I5" s="27"/>
      <c r="J5" s="27"/>
      <c r="K5" s="27"/>
      <c r="L5" s="27"/>
      <c r="M5" s="27"/>
      <c r="N5" s="27"/>
      <c r="O5" s="27"/>
      <c r="P5" s="27"/>
      <c r="Q5" s="27"/>
      <c r="R5" s="27"/>
      <c r="S5" s="27"/>
      <c r="T5" s="27"/>
      <c r="U5" s="27"/>
      <c r="V5" s="27"/>
      <c r="W5" s="27"/>
      <c r="X5" s="27"/>
      <c r="Y5" s="27"/>
      <c r="Z5" s="27"/>
      <c r="AA5" s="27"/>
      <c r="AB5" s="27"/>
      <c r="AC5" s="27"/>
      <c r="AD5" s="27"/>
      <c r="AE5" s="27"/>
      <c r="AF5" s="27"/>
      <c r="AG5" s="27"/>
      <c r="AH5" s="27"/>
      <c r="AI5" s="27"/>
      <c r="AJ5" s="27"/>
      <c r="AK5" s="27"/>
      <c r="AL5" s="27"/>
      <c r="AM5" s="27"/>
      <c r="AN5" s="27"/>
      <c r="AO5" s="27"/>
      <c r="AP5" s="27"/>
      <c r="AQ5" s="27"/>
      <c r="AR5" s="27"/>
      <c r="AS5" s="27"/>
      <c r="AT5" s="27"/>
      <c r="AU5" s="27"/>
      <c r="AV5" s="27"/>
      <c r="AW5" s="27"/>
      <c r="AX5" s="27"/>
      <c r="AY5" s="27"/>
      <c r="AZ5" s="27"/>
      <c r="BA5" s="27"/>
      <c r="BB5" s="27"/>
      <c r="BC5" s="27"/>
      <c r="BD5" s="27"/>
      <c r="BE5" s="27"/>
      <c r="BF5" s="28"/>
    </row>
    <row r="6" spans="1:58">
      <c r="A6" s="29"/>
      <c r="B6" s="30" t="s">
        <v>55</v>
      </c>
      <c r="C6" s="30"/>
      <c r="D6" s="30"/>
      <c r="E6" s="30"/>
      <c r="F6" s="30"/>
      <c r="G6" s="30"/>
      <c r="H6" s="30"/>
      <c r="I6" s="30"/>
      <c r="J6" s="30"/>
      <c r="K6" s="30"/>
      <c r="L6" s="30"/>
      <c r="M6" s="30"/>
      <c r="N6" s="30"/>
      <c r="O6" s="30"/>
      <c r="P6" s="30"/>
      <c r="Q6" s="30"/>
      <c r="R6" s="30" t="s">
        <v>59</v>
      </c>
      <c r="S6" s="30"/>
      <c r="T6" s="30"/>
      <c r="U6" s="30"/>
      <c r="V6" s="30"/>
      <c r="W6" s="30"/>
      <c r="X6" s="30"/>
      <c r="Y6" s="30"/>
      <c r="Z6" s="30"/>
      <c r="AA6" s="30"/>
      <c r="AB6" s="30"/>
      <c r="AC6" s="30"/>
      <c r="AD6" s="30" t="s">
        <v>67</v>
      </c>
      <c r="AE6" s="30"/>
      <c r="AF6" s="30"/>
      <c r="AG6" s="30"/>
      <c r="AH6" s="30"/>
      <c r="AI6" s="30"/>
      <c r="AJ6" s="30"/>
      <c r="AK6" s="30"/>
      <c r="AL6" s="30"/>
      <c r="AM6" s="30"/>
      <c r="AN6" s="30"/>
      <c r="AO6" s="30"/>
      <c r="AP6" s="30"/>
      <c r="AQ6" s="30"/>
      <c r="AR6" s="30"/>
      <c r="AS6" s="30"/>
      <c r="AT6" s="30"/>
      <c r="AU6" s="30"/>
      <c r="AV6" s="30"/>
      <c r="AW6" s="30"/>
      <c r="AX6" s="30"/>
      <c r="AY6" s="30"/>
      <c r="AZ6" s="30"/>
      <c r="BA6" s="30"/>
      <c r="BB6" s="30"/>
      <c r="BC6" s="30"/>
      <c r="BD6" s="30"/>
      <c r="BE6" s="30"/>
      <c r="BF6" s="31"/>
    </row>
    <row r="7" spans="1:58">
      <c r="A7" s="29"/>
      <c r="B7" s="30"/>
      <c r="C7"/>
      <c r="D7" s="30"/>
      <c r="E7" s="30"/>
      <c r="F7" s="30"/>
      <c r="G7" s="30"/>
      <c r="H7" s="30"/>
      <c r="I7" s="30"/>
      <c r="J7" s="30"/>
      <c r="K7" s="30"/>
      <c r="L7" s="30"/>
      <c r="M7" s="30"/>
      <c r="N7" s="30"/>
      <c r="O7" s="30"/>
      <c r="P7" s="30"/>
      <c r="Q7" s="30"/>
      <c r="R7" s="30"/>
      <c r="S7" s="30"/>
      <c r="T7" s="30"/>
      <c r="U7" s="30"/>
      <c r="V7" s="30"/>
      <c r="W7" s="30"/>
      <c r="X7" s="30"/>
      <c r="Y7" s="30"/>
      <c r="Z7" s="30"/>
      <c r="AA7" s="30"/>
      <c r="AB7" s="30"/>
      <c r="AC7" s="30"/>
      <c r="AD7" s="30"/>
      <c r="AE7" s="30"/>
      <c r="AF7" s="30"/>
      <c r="AG7" s="30"/>
      <c r="AH7" s="30"/>
      <c r="AI7" s="30"/>
      <c r="AJ7" s="30"/>
      <c r="AK7" s="30"/>
      <c r="AL7" s="30"/>
      <c r="AM7" s="30"/>
      <c r="AN7" s="30"/>
      <c r="AO7" s="30"/>
      <c r="AP7" s="30"/>
      <c r="AQ7" s="30"/>
      <c r="AR7" s="30"/>
      <c r="AS7" s="30"/>
      <c r="AT7" s="30"/>
      <c r="AU7" s="30"/>
      <c r="AV7" s="30"/>
      <c r="AW7" s="30"/>
      <c r="AX7" s="30"/>
      <c r="AY7" s="30"/>
      <c r="AZ7" s="30"/>
      <c r="BA7" s="30"/>
      <c r="BB7" s="30"/>
      <c r="BC7" s="30"/>
      <c r="BD7" s="30"/>
      <c r="BE7" s="30"/>
      <c r="BF7" s="31"/>
    </row>
    <row r="8" spans="1:58">
      <c r="A8" s="29"/>
      <c r="B8" s="30"/>
      <c r="C8" s="30"/>
      <c r="D8" s="30"/>
      <c r="E8" s="30"/>
      <c r="F8" s="30"/>
      <c r="G8" s="30"/>
      <c r="H8" s="30"/>
      <c r="I8" s="30"/>
      <c r="J8" s="30"/>
      <c r="K8" s="30"/>
      <c r="L8" s="30"/>
      <c r="M8" s="30"/>
      <c r="N8" s="30"/>
      <c r="O8" s="30"/>
      <c r="P8" s="30"/>
      <c r="Q8" s="30"/>
      <c r="R8" s="30"/>
      <c r="S8" s="30"/>
      <c r="T8" s="30"/>
      <c r="U8" s="30"/>
      <c r="V8" s="30"/>
      <c r="W8" s="30"/>
      <c r="X8" s="30"/>
      <c r="Y8" s="30"/>
      <c r="Z8" s="30"/>
      <c r="AA8" s="30"/>
      <c r="AB8" s="30"/>
      <c r="AC8" s="30"/>
      <c r="AD8" s="30"/>
      <c r="AE8" s="30"/>
      <c r="AF8" s="30"/>
      <c r="AG8" s="30"/>
      <c r="AH8" s="30"/>
      <c r="AI8" s="30"/>
      <c r="AJ8" s="30"/>
      <c r="AK8" s="30"/>
      <c r="AL8" s="30"/>
      <c r="AM8" s="30"/>
      <c r="AN8" s="30"/>
      <c r="AO8" s="30"/>
      <c r="AP8" s="30"/>
      <c r="AQ8" s="30"/>
      <c r="AR8" s="30"/>
      <c r="AS8" s="30"/>
      <c r="AT8" s="30"/>
      <c r="AU8" s="30"/>
      <c r="AV8" s="30"/>
      <c r="AW8" s="30"/>
      <c r="AX8" s="30"/>
      <c r="AY8" s="30"/>
      <c r="AZ8" s="30"/>
      <c r="BA8" s="30"/>
      <c r="BB8" s="30"/>
      <c r="BC8" s="30"/>
      <c r="BD8" s="30"/>
      <c r="BE8" s="30"/>
      <c r="BF8" s="31"/>
    </row>
    <row r="9" spans="1:58">
      <c r="A9" s="29"/>
      <c r="B9" s="30"/>
      <c r="C9" s="30"/>
      <c r="D9" s="30"/>
      <c r="E9" s="30"/>
      <c r="F9" s="30"/>
      <c r="G9" s="30"/>
      <c r="H9" s="30"/>
      <c r="I9" s="30"/>
      <c r="J9" s="30"/>
      <c r="K9" s="30"/>
      <c r="L9" s="30"/>
      <c r="M9" s="30"/>
      <c r="N9" s="30"/>
      <c r="O9" s="30"/>
      <c r="P9" s="30"/>
      <c r="Q9" s="30"/>
      <c r="R9" s="30"/>
      <c r="S9" s="30"/>
      <c r="T9" s="30"/>
      <c r="U9" s="30"/>
      <c r="V9" s="30"/>
      <c r="W9" s="30"/>
      <c r="X9" s="30"/>
      <c r="Y9" s="30"/>
      <c r="Z9" s="30"/>
      <c r="AA9" s="30"/>
      <c r="AB9" s="30"/>
      <c r="AC9" s="30"/>
      <c r="AD9" s="30"/>
      <c r="AE9" s="30"/>
      <c r="AF9" s="30"/>
      <c r="AG9" s="30"/>
      <c r="AH9" s="30"/>
      <c r="AI9" s="30"/>
      <c r="AJ9" s="30"/>
      <c r="AK9" s="30"/>
      <c r="AL9" s="30"/>
      <c r="AM9" s="30"/>
      <c r="AN9" s="30"/>
      <c r="AO9" s="30"/>
      <c r="AP9" s="30"/>
      <c r="AQ9" s="30"/>
      <c r="AR9" s="30"/>
      <c r="AS9" s="30"/>
      <c r="AT9" s="30"/>
      <c r="AU9" s="30"/>
      <c r="AV9" s="30"/>
      <c r="AW9" s="30"/>
      <c r="AX9" s="30"/>
      <c r="AY9" s="30"/>
      <c r="AZ9" s="30"/>
      <c r="BA9" s="30"/>
      <c r="BB9" s="30"/>
      <c r="BC9" s="30"/>
      <c r="BD9" s="30"/>
      <c r="BE9" s="30"/>
      <c r="BF9" s="31"/>
    </row>
    <row r="10" spans="1:58">
      <c r="A10" s="29"/>
      <c r="B10" s="30"/>
      <c r="C10" s="30"/>
      <c r="D10" s="30"/>
      <c r="E10" s="30"/>
      <c r="F10" s="30"/>
      <c r="G10" s="30"/>
      <c r="H10" s="30"/>
      <c r="I10" s="30"/>
      <c r="J10" s="30"/>
      <c r="K10" s="30"/>
      <c r="L10" s="30"/>
      <c r="M10" s="30"/>
      <c r="N10" s="30"/>
      <c r="O10" s="30"/>
      <c r="P10" s="30"/>
      <c r="Q10" s="30"/>
      <c r="R10" s="30"/>
      <c r="S10" s="30"/>
      <c r="T10" s="30"/>
      <c r="U10" s="30"/>
      <c r="V10" s="30"/>
      <c r="W10" s="30"/>
      <c r="X10" s="30"/>
      <c r="Y10" s="30"/>
      <c r="Z10" s="30"/>
      <c r="AA10" s="30"/>
      <c r="AB10" s="30"/>
      <c r="AC10" s="30"/>
      <c r="AD10" s="30"/>
      <c r="AE10" s="30"/>
      <c r="AF10" s="30"/>
      <c r="AG10" s="30"/>
      <c r="AH10" s="30"/>
      <c r="AI10" s="30"/>
      <c r="AJ10" s="30"/>
      <c r="AK10" s="30"/>
      <c r="AL10" s="30"/>
      <c r="AM10" s="30"/>
      <c r="AN10" s="30"/>
      <c r="AO10" s="30"/>
      <c r="AP10" s="30"/>
      <c r="AQ10" s="30"/>
      <c r="AR10" s="30"/>
      <c r="AS10" s="30"/>
      <c r="AT10" s="30"/>
      <c r="AU10" s="30"/>
      <c r="AV10" s="30"/>
      <c r="AW10" s="30"/>
      <c r="AX10" s="30"/>
      <c r="AY10" s="30"/>
      <c r="AZ10" s="30"/>
      <c r="BA10" s="30"/>
      <c r="BB10" s="30"/>
      <c r="BC10" s="30"/>
      <c r="BD10" s="30"/>
      <c r="BE10" s="30"/>
      <c r="BF10" s="31"/>
    </row>
    <row r="11" spans="1:58">
      <c r="A11" s="29"/>
      <c r="B11" s="30"/>
      <c r="C11" s="30"/>
      <c r="D11" s="30"/>
      <c r="E11" s="30"/>
      <c r="F11" s="30"/>
      <c r="G11" s="30"/>
      <c r="H11" s="30"/>
      <c r="I11" s="30"/>
      <c r="J11" s="30"/>
      <c r="K11" s="30"/>
      <c r="L11" s="30"/>
      <c r="M11" s="30"/>
      <c r="N11" s="30"/>
      <c r="O11" s="30"/>
      <c r="P11" s="30"/>
      <c r="Q11" s="30"/>
      <c r="R11" s="30"/>
      <c r="S11" s="30"/>
      <c r="T11" s="30"/>
      <c r="U11" s="30"/>
      <c r="V11" s="30"/>
      <c r="W11" s="30"/>
      <c r="X11" s="30"/>
      <c r="Y11" s="30"/>
      <c r="Z11" s="30"/>
      <c r="AA11" s="30"/>
      <c r="AB11" s="30"/>
      <c r="AC11" s="30"/>
      <c r="AD11" s="30"/>
      <c r="AE11" s="30"/>
      <c r="AF11" s="30"/>
      <c r="AG11" s="30"/>
      <c r="AH11" s="30"/>
      <c r="AI11" s="30"/>
      <c r="AJ11" s="30"/>
      <c r="AK11" s="30"/>
      <c r="AL11" s="30"/>
      <c r="AM11" s="30"/>
      <c r="AN11" s="30"/>
      <c r="AO11" s="30"/>
      <c r="AP11" s="30"/>
      <c r="AQ11" s="30"/>
      <c r="AR11" s="30"/>
      <c r="AS11" s="30"/>
      <c r="AT11" s="30"/>
      <c r="AU11" s="30"/>
      <c r="AV11" s="30"/>
      <c r="AW11" s="30"/>
      <c r="AX11" s="30"/>
      <c r="AY11" s="30"/>
      <c r="AZ11" s="30"/>
      <c r="BA11" s="30"/>
      <c r="BB11" s="30"/>
      <c r="BC11" s="30"/>
      <c r="BD11" s="30"/>
      <c r="BE11" s="30"/>
      <c r="BF11" s="31"/>
    </row>
    <row r="12" spans="1:58">
      <c r="A12" s="29"/>
      <c r="B12" s="30"/>
      <c r="C12" s="30"/>
      <c r="D12" s="30"/>
      <c r="E12" s="30"/>
      <c r="F12" s="30"/>
      <c r="G12" s="30"/>
      <c r="H12" s="30"/>
      <c r="I12" s="30"/>
      <c r="J12" s="30"/>
      <c r="K12" s="30"/>
      <c r="L12" s="30"/>
      <c r="M12" s="30"/>
      <c r="N12" s="30"/>
      <c r="O12" s="30"/>
      <c r="P12" s="30"/>
      <c r="Q12" s="30"/>
      <c r="R12" s="30"/>
      <c r="S12" s="30"/>
      <c r="T12" s="30"/>
      <c r="U12" s="30"/>
      <c r="V12" s="30"/>
      <c r="W12" s="30"/>
      <c r="X12" s="30"/>
      <c r="Y12" s="30"/>
      <c r="Z12" s="30"/>
      <c r="AA12" s="30"/>
      <c r="AB12" s="30"/>
      <c r="AC12" s="30"/>
      <c r="AD12" s="30"/>
      <c r="AE12" s="30"/>
      <c r="AF12" s="30"/>
      <c r="AG12" s="30"/>
      <c r="AH12" s="30"/>
      <c r="AI12" s="30"/>
      <c r="AJ12" s="30"/>
      <c r="AK12" s="30"/>
      <c r="AL12" s="30"/>
      <c r="AM12" s="30"/>
      <c r="AN12" s="30"/>
      <c r="AO12" s="30"/>
      <c r="AP12" s="30"/>
      <c r="AQ12" s="30"/>
      <c r="AR12" s="30"/>
      <c r="AS12" s="30"/>
      <c r="AT12" s="30"/>
      <c r="AU12" s="30"/>
      <c r="AV12" s="30"/>
      <c r="AW12" s="30"/>
      <c r="AX12" s="30"/>
      <c r="AY12" s="30"/>
      <c r="AZ12" s="30"/>
      <c r="BA12" s="30"/>
      <c r="BB12" s="30"/>
      <c r="BC12" s="30"/>
      <c r="BD12" s="30"/>
      <c r="BE12" s="30"/>
      <c r="BF12" s="31"/>
    </row>
    <row r="13" spans="1:58">
      <c r="A13" s="29"/>
      <c r="B13" s="30"/>
      <c r="C13" s="30"/>
      <c r="D13" s="30"/>
      <c r="E13" s="30"/>
      <c r="F13" s="30"/>
      <c r="G13" s="30"/>
      <c r="H13" s="30"/>
      <c r="I13" s="30"/>
      <c r="J13" s="30"/>
      <c r="K13" s="30"/>
      <c r="L13" s="30"/>
      <c r="M13" s="30"/>
      <c r="N13" s="30"/>
      <c r="O13" s="30"/>
      <c r="P13" s="30"/>
      <c r="Q13" s="30"/>
      <c r="R13" s="30"/>
      <c r="S13" s="30"/>
      <c r="T13" s="30"/>
      <c r="U13" s="30"/>
      <c r="V13" s="30"/>
      <c r="W13" s="30"/>
      <c r="X13" s="30"/>
      <c r="Y13" s="30"/>
      <c r="Z13" s="30"/>
      <c r="AA13" s="30"/>
      <c r="AB13" s="30"/>
      <c r="AC13" s="30"/>
      <c r="AD13" s="30"/>
      <c r="AE13" s="30"/>
      <c r="AF13" s="30"/>
      <c r="AG13" s="30"/>
      <c r="AH13" s="30"/>
      <c r="AI13" s="30"/>
      <c r="AJ13" s="30"/>
      <c r="AK13" s="30"/>
      <c r="AL13" s="30"/>
      <c r="AM13" s="30"/>
      <c r="AN13" s="30"/>
      <c r="AO13" s="30"/>
      <c r="AP13" s="30"/>
      <c r="AQ13" s="30"/>
      <c r="AR13" s="30"/>
      <c r="AS13" s="30"/>
      <c r="AT13" s="30"/>
      <c r="AU13" s="30"/>
      <c r="AV13" s="30"/>
      <c r="AW13" s="30"/>
      <c r="AX13" s="30"/>
      <c r="AY13" s="30"/>
      <c r="AZ13" s="30"/>
      <c r="BA13" s="30"/>
      <c r="BB13" s="30"/>
      <c r="BC13" s="30"/>
      <c r="BD13" s="30"/>
      <c r="BE13" s="30"/>
      <c r="BF13" s="31"/>
    </row>
    <row r="14" spans="1:58">
      <c r="A14" s="29"/>
      <c r="B14" s="30"/>
      <c r="C14" s="30"/>
      <c r="D14" s="30"/>
      <c r="E14" s="30"/>
      <c r="F14" s="30"/>
      <c r="G14" s="30"/>
      <c r="H14" s="30"/>
      <c r="I14" s="30"/>
      <c r="J14" s="30"/>
      <c r="K14" s="30"/>
      <c r="L14" s="30"/>
      <c r="M14" s="30"/>
      <c r="N14" s="30"/>
      <c r="O14" s="30"/>
      <c r="P14" s="30"/>
      <c r="Q14" s="30"/>
      <c r="R14" s="30"/>
      <c r="S14" s="30"/>
      <c r="T14" s="30"/>
      <c r="U14" s="30"/>
      <c r="V14" s="30"/>
      <c r="W14" s="30"/>
      <c r="X14" s="30"/>
      <c r="Y14" s="30"/>
      <c r="Z14" s="30"/>
      <c r="AA14" s="30"/>
      <c r="AB14" s="30"/>
      <c r="AC14" s="30"/>
      <c r="AD14" s="30"/>
      <c r="AE14" s="30"/>
      <c r="AF14" s="30"/>
      <c r="AG14" s="30"/>
      <c r="AH14" s="30"/>
      <c r="AI14" s="30"/>
      <c r="AJ14" s="30"/>
      <c r="AK14" s="30"/>
      <c r="AL14" s="30"/>
      <c r="AM14" s="30"/>
      <c r="AN14" s="30"/>
      <c r="AO14" s="30"/>
      <c r="AP14" s="30"/>
      <c r="AQ14" s="30"/>
      <c r="AR14" s="30"/>
      <c r="AS14" s="30"/>
      <c r="AT14" s="30"/>
      <c r="AU14" s="30"/>
      <c r="AV14" s="30"/>
      <c r="AW14" s="30"/>
      <c r="AX14" s="30"/>
      <c r="AY14" s="30"/>
      <c r="AZ14" s="30"/>
      <c r="BA14" s="30"/>
      <c r="BB14" s="30"/>
      <c r="BC14" s="30"/>
      <c r="BD14" s="30"/>
      <c r="BE14" s="30"/>
      <c r="BF14" s="31"/>
    </row>
    <row r="15" spans="1:58">
      <c r="A15" s="29"/>
      <c r="B15" s="30"/>
      <c r="C15" s="30"/>
      <c r="D15" s="30"/>
      <c r="E15" s="30"/>
      <c r="F15" s="30"/>
      <c r="G15" s="30"/>
      <c r="H15" s="30"/>
      <c r="I15" s="30"/>
      <c r="J15" s="30"/>
      <c r="K15" s="30"/>
      <c r="L15" s="30"/>
      <c r="M15" s="30"/>
      <c r="N15" s="30"/>
      <c r="O15" s="30"/>
      <c r="P15" s="30"/>
      <c r="Q15" s="30"/>
      <c r="R15" s="30"/>
      <c r="S15" s="30"/>
      <c r="T15" s="30"/>
      <c r="U15" s="30"/>
      <c r="V15" s="30"/>
      <c r="W15" s="30"/>
      <c r="X15" s="30"/>
      <c r="Y15" s="30"/>
      <c r="Z15" s="30"/>
      <c r="AA15" s="30"/>
      <c r="AB15" s="30"/>
      <c r="AC15" s="30"/>
      <c r="AD15" s="30"/>
      <c r="AE15" s="30"/>
      <c r="AF15" s="30"/>
      <c r="AG15" s="30"/>
      <c r="AH15" s="30"/>
      <c r="AI15" s="30"/>
      <c r="AJ15" s="30"/>
      <c r="AK15" s="30"/>
      <c r="AL15" s="30"/>
      <c r="AM15" s="30"/>
      <c r="AN15" s="30"/>
      <c r="AO15" s="30"/>
      <c r="AP15" s="30"/>
      <c r="AQ15" s="30"/>
      <c r="AR15" s="30"/>
      <c r="AS15" s="30"/>
      <c r="AT15" s="30"/>
      <c r="AU15" s="30"/>
      <c r="AV15" s="30"/>
      <c r="AW15" s="30"/>
      <c r="AX15" s="30"/>
      <c r="AY15" s="30"/>
      <c r="AZ15" s="30"/>
      <c r="BA15" s="30"/>
      <c r="BB15" s="30"/>
      <c r="BC15" s="30"/>
      <c r="BD15" s="30"/>
      <c r="BE15" s="30"/>
      <c r="BF15" s="31"/>
    </row>
    <row r="16" spans="1:58">
      <c r="A16" s="29"/>
      <c r="B16" s="30"/>
      <c r="C16" s="30"/>
      <c r="D16" s="30"/>
      <c r="E16" s="30"/>
      <c r="F16" s="30"/>
      <c r="G16" s="30"/>
      <c r="H16" s="30"/>
      <c r="I16" s="30"/>
      <c r="J16" s="30"/>
      <c r="K16" s="30"/>
      <c r="L16" s="30"/>
      <c r="M16" s="30"/>
      <c r="N16" s="30"/>
      <c r="O16" s="30"/>
      <c r="P16" s="30"/>
      <c r="Q16" s="30"/>
      <c r="R16" s="30"/>
      <c r="S16" s="30"/>
      <c r="T16" s="30"/>
      <c r="U16" s="30"/>
      <c r="V16" s="30"/>
      <c r="W16" s="30"/>
      <c r="X16" s="30"/>
      <c r="Y16" s="30"/>
      <c r="Z16" s="30"/>
      <c r="AA16" s="30"/>
      <c r="AB16" s="30"/>
      <c r="AC16" s="30"/>
      <c r="AD16" s="30"/>
      <c r="AE16" s="30"/>
      <c r="AF16" s="30"/>
      <c r="AG16" s="30"/>
      <c r="AH16" s="30"/>
      <c r="AI16" s="30"/>
      <c r="AJ16" s="30"/>
      <c r="AK16" s="30"/>
      <c r="AL16" s="30"/>
      <c r="AM16" s="30"/>
      <c r="AN16" s="30"/>
      <c r="AO16" s="30"/>
      <c r="AP16" s="30"/>
      <c r="AQ16" s="30"/>
      <c r="AR16" s="30"/>
      <c r="AS16" s="30"/>
      <c r="AT16" s="30"/>
      <c r="AU16" s="30"/>
      <c r="AV16" s="30"/>
      <c r="AW16" s="30"/>
      <c r="AX16" s="30"/>
      <c r="AY16" s="30"/>
      <c r="AZ16" s="30"/>
      <c r="BA16" s="30"/>
      <c r="BB16" s="30"/>
      <c r="BC16" s="30"/>
      <c r="BD16" s="30"/>
      <c r="BE16" s="30"/>
      <c r="BF16" s="31"/>
    </row>
    <row r="17" spans="1:58">
      <c r="A17" s="29"/>
      <c r="B17" s="30"/>
      <c r="C17" s="30"/>
      <c r="D17" s="30"/>
      <c r="E17" s="30"/>
      <c r="F17" s="30"/>
      <c r="G17" s="30"/>
      <c r="H17" s="30"/>
      <c r="I17" s="30"/>
      <c r="J17" s="30"/>
      <c r="K17" s="30"/>
      <c r="L17" s="30"/>
      <c r="M17" s="30"/>
      <c r="N17" s="30"/>
      <c r="O17" s="30"/>
      <c r="P17" s="30"/>
      <c r="Q17" s="30"/>
      <c r="R17" s="30"/>
      <c r="S17" s="30"/>
      <c r="T17" s="30"/>
      <c r="U17" s="30"/>
      <c r="V17" s="30"/>
      <c r="W17" s="30"/>
      <c r="X17" s="30"/>
      <c r="Y17" s="30"/>
      <c r="Z17" s="30"/>
      <c r="AA17" s="30"/>
      <c r="AB17" s="30"/>
      <c r="AC17" s="30"/>
      <c r="AD17" s="30"/>
      <c r="AE17" s="30"/>
      <c r="AF17" s="30"/>
      <c r="AG17" s="30"/>
      <c r="AH17" s="30"/>
      <c r="AI17" s="30"/>
      <c r="AJ17" s="30"/>
      <c r="AK17" s="30"/>
      <c r="AL17" s="30"/>
      <c r="AM17" s="30"/>
      <c r="AN17" s="30"/>
      <c r="AO17" s="30"/>
      <c r="AP17" s="30"/>
      <c r="AQ17" s="30"/>
      <c r="AR17" s="30"/>
      <c r="AS17" s="30"/>
      <c r="AT17" s="30"/>
      <c r="AU17" s="30"/>
      <c r="AV17" s="30"/>
      <c r="AW17" s="30"/>
      <c r="AX17" s="30"/>
      <c r="AY17" s="30"/>
      <c r="AZ17" s="30"/>
      <c r="BA17" s="30"/>
      <c r="BB17" s="30"/>
      <c r="BC17" s="30"/>
      <c r="BD17" s="30"/>
      <c r="BE17" s="30"/>
      <c r="BF17" s="31"/>
    </row>
    <row r="18" spans="1:58">
      <c r="A18" s="29"/>
      <c r="B18" s="30"/>
      <c r="C18" s="30"/>
      <c r="D18" s="30"/>
      <c r="E18" s="30"/>
      <c r="F18" s="30"/>
      <c r="G18" s="30"/>
      <c r="H18" s="30"/>
      <c r="I18" s="30"/>
      <c r="J18" s="30"/>
      <c r="K18" s="30"/>
      <c r="L18" s="30"/>
      <c r="M18" s="30"/>
      <c r="N18" s="30"/>
      <c r="O18" s="30"/>
      <c r="P18" s="30"/>
      <c r="Q18" s="30"/>
      <c r="R18" s="30"/>
      <c r="S18" s="30"/>
      <c r="T18" s="30"/>
      <c r="U18" s="30"/>
      <c r="V18" s="30"/>
      <c r="W18" s="30"/>
      <c r="X18" s="30"/>
      <c r="Y18" s="30"/>
      <c r="Z18" s="30"/>
      <c r="AA18" s="30"/>
      <c r="AB18" s="30"/>
      <c r="AC18" s="30"/>
      <c r="AD18" s="30"/>
      <c r="AE18" s="30"/>
      <c r="AF18" s="30"/>
      <c r="AG18" s="30"/>
      <c r="AH18" s="30"/>
      <c r="AI18" s="30"/>
      <c r="AJ18" s="30"/>
      <c r="AK18" s="30"/>
      <c r="AL18" s="30"/>
      <c r="AM18" s="30"/>
      <c r="AN18" s="30"/>
      <c r="AO18" s="30"/>
      <c r="AP18" s="30"/>
      <c r="AQ18" s="30"/>
      <c r="AR18" s="30"/>
      <c r="AS18" s="30"/>
      <c r="AT18" s="30"/>
      <c r="AU18" s="30"/>
      <c r="AV18" s="30"/>
      <c r="AW18" s="30"/>
      <c r="AX18" s="30"/>
      <c r="AY18" s="30"/>
      <c r="AZ18" s="30"/>
      <c r="BA18" s="30"/>
      <c r="BB18" s="30"/>
      <c r="BC18" s="30"/>
      <c r="BD18" s="30"/>
      <c r="BE18" s="30"/>
      <c r="BF18" s="31"/>
    </row>
    <row r="19" spans="1:58">
      <c r="A19" s="29"/>
      <c r="B19" s="30"/>
      <c r="C19" s="30"/>
      <c r="D19" s="30"/>
      <c r="E19" s="30"/>
      <c r="F19" s="30"/>
      <c r="G19" s="30"/>
      <c r="H19" s="30"/>
      <c r="I19" s="30"/>
      <c r="J19" s="30"/>
      <c r="K19" s="30"/>
      <c r="L19" s="30"/>
      <c r="M19" s="30"/>
      <c r="N19" s="30"/>
      <c r="O19" s="30"/>
      <c r="P19" s="30"/>
      <c r="Q19" s="30"/>
      <c r="R19" s="30"/>
      <c r="S19" s="30"/>
      <c r="T19" s="30"/>
      <c r="U19" s="30"/>
      <c r="V19" s="30"/>
      <c r="W19" s="30"/>
      <c r="X19" s="30"/>
      <c r="Y19" s="30"/>
      <c r="Z19" s="30"/>
      <c r="AA19" s="30"/>
      <c r="AB19" s="30"/>
      <c r="AC19" s="30"/>
      <c r="AD19" s="30"/>
      <c r="AE19" s="30"/>
      <c r="AF19" s="30"/>
      <c r="AG19" s="30"/>
      <c r="AH19" s="30"/>
      <c r="AI19" s="30"/>
      <c r="AJ19" s="30"/>
      <c r="AK19" s="30"/>
      <c r="AL19" s="30"/>
      <c r="AM19" s="30"/>
      <c r="AN19" s="30"/>
      <c r="AO19" s="30"/>
      <c r="AP19" s="30"/>
      <c r="AQ19" s="30"/>
      <c r="AR19" s="30"/>
      <c r="AS19" s="30"/>
      <c r="AT19" s="30"/>
      <c r="AU19" s="30"/>
      <c r="AV19" s="30"/>
      <c r="AW19" s="30"/>
      <c r="AX19" s="30"/>
      <c r="AY19" s="30"/>
      <c r="AZ19" s="30"/>
      <c r="BA19" s="30"/>
      <c r="BB19" s="30"/>
      <c r="BC19" s="30"/>
      <c r="BD19" s="30"/>
      <c r="BE19" s="30"/>
      <c r="BF19" s="31"/>
    </row>
    <row r="20" spans="1:58">
      <c r="A20" s="29"/>
      <c r="B20" s="30"/>
      <c r="C20" s="30"/>
      <c r="D20" s="30"/>
      <c r="E20" s="30"/>
      <c r="F20" s="30"/>
      <c r="G20" s="30"/>
      <c r="H20" s="30"/>
      <c r="I20" s="30"/>
      <c r="J20" s="30"/>
      <c r="K20" s="30"/>
      <c r="L20" s="30"/>
      <c r="M20" s="30"/>
      <c r="N20" s="30"/>
      <c r="O20" s="30"/>
      <c r="P20" s="30"/>
      <c r="Q20" s="30"/>
      <c r="R20" s="30"/>
      <c r="S20" s="30"/>
      <c r="T20" s="30"/>
      <c r="U20" s="30"/>
      <c r="V20" s="30"/>
      <c r="W20" s="30"/>
      <c r="X20" s="30"/>
      <c r="Y20" s="30"/>
      <c r="Z20" s="30"/>
      <c r="AA20" s="30"/>
      <c r="AB20" s="30"/>
      <c r="AC20" s="30"/>
      <c r="AD20" s="30"/>
      <c r="AE20" s="30"/>
      <c r="AF20" s="30"/>
      <c r="AG20" s="30"/>
      <c r="AH20" s="30"/>
      <c r="AI20" s="30"/>
      <c r="AJ20" s="30"/>
      <c r="AK20" s="30"/>
      <c r="AL20" s="30"/>
      <c r="AM20" s="30"/>
      <c r="AN20" s="30"/>
      <c r="AO20" s="30"/>
      <c r="AP20" s="30"/>
      <c r="AQ20" s="30"/>
      <c r="AR20" s="30"/>
      <c r="AS20" s="30"/>
      <c r="AT20" s="30"/>
      <c r="AU20" s="30"/>
      <c r="AV20" s="30"/>
      <c r="AW20" s="30"/>
      <c r="AX20" s="30"/>
      <c r="AY20" s="30"/>
      <c r="AZ20" s="30"/>
      <c r="BA20" s="30"/>
      <c r="BB20" s="30"/>
      <c r="BC20" s="30"/>
      <c r="BD20" s="30"/>
      <c r="BE20" s="30"/>
      <c r="BF20" s="31"/>
    </row>
    <row r="21" spans="1:58">
      <c r="A21" s="29"/>
      <c r="B21" s="30"/>
      <c r="C21" s="30"/>
      <c r="D21" s="30"/>
      <c r="E21" s="30"/>
      <c r="F21" s="30"/>
      <c r="G21" s="30"/>
      <c r="H21" s="30"/>
      <c r="I21" s="30"/>
      <c r="J21" s="30"/>
      <c r="K21" s="30"/>
      <c r="L21" s="30"/>
      <c r="M21" s="30"/>
      <c r="N21" s="30"/>
      <c r="O21" s="30"/>
      <c r="P21" s="30"/>
      <c r="Q21" s="30"/>
      <c r="R21" s="30" t="s">
        <v>68</v>
      </c>
      <c r="S21" s="30"/>
      <c r="T21" s="30"/>
      <c r="U21" s="30"/>
      <c r="V21" s="30"/>
      <c r="W21" s="30"/>
      <c r="X21" s="30"/>
      <c r="Y21" s="30"/>
      <c r="Z21" s="30"/>
      <c r="AA21" s="30"/>
      <c r="AB21" s="30"/>
      <c r="AC21" s="30"/>
      <c r="AD21" s="30"/>
      <c r="AE21" s="30"/>
      <c r="AF21" s="30"/>
      <c r="AG21" s="30"/>
      <c r="AH21" s="30"/>
      <c r="AI21" s="30"/>
      <c r="AJ21" s="30"/>
      <c r="AK21" s="30"/>
      <c r="AL21" s="30"/>
      <c r="AM21" s="30"/>
      <c r="AN21" s="30"/>
      <c r="AO21" s="30"/>
      <c r="AP21" s="30"/>
      <c r="AQ21" s="30"/>
      <c r="AR21" s="30"/>
      <c r="AS21" s="30"/>
      <c r="AT21" s="30"/>
      <c r="AU21" s="30"/>
      <c r="AV21" s="30"/>
      <c r="AW21" s="30"/>
      <c r="AX21" s="30"/>
      <c r="AY21" s="30"/>
      <c r="AZ21" s="30"/>
      <c r="BA21" s="30"/>
      <c r="BB21" s="30"/>
      <c r="BC21" s="30"/>
      <c r="BD21" s="30"/>
      <c r="BE21" s="30"/>
      <c r="BF21" s="31"/>
    </row>
    <row r="22" spans="1:58">
      <c r="A22" s="29"/>
      <c r="B22" s="30"/>
      <c r="C22" s="30"/>
      <c r="D22" s="30"/>
      <c r="E22" s="30"/>
      <c r="F22" s="30"/>
      <c r="G22" s="30"/>
      <c r="H22" s="30"/>
      <c r="I22" s="30"/>
      <c r="J22" s="30"/>
      <c r="K22" s="30"/>
      <c r="L22" s="30"/>
      <c r="M22" s="30"/>
      <c r="N22" s="30"/>
      <c r="O22" s="30"/>
      <c r="P22" s="30"/>
      <c r="Q22" s="30"/>
      <c r="R22" s="30"/>
      <c r="S22" s="30"/>
      <c r="T22" s="30"/>
      <c r="U22" s="30"/>
      <c r="V22" s="30"/>
      <c r="W22" s="30"/>
      <c r="X22" s="30"/>
      <c r="Y22" s="30"/>
      <c r="Z22" s="30"/>
      <c r="AA22" s="30"/>
      <c r="AB22" s="30"/>
      <c r="AC22" s="30"/>
      <c r="AD22" s="30"/>
      <c r="AE22" s="30"/>
      <c r="AF22" s="30"/>
      <c r="AG22" s="30"/>
      <c r="AH22" s="30"/>
      <c r="AI22" s="30"/>
      <c r="AJ22" s="30"/>
      <c r="AK22" s="30"/>
      <c r="AL22" s="30"/>
      <c r="AM22" s="30"/>
      <c r="AN22" s="30"/>
      <c r="AO22" s="30"/>
      <c r="AP22" s="30"/>
      <c r="AQ22" s="30"/>
      <c r="AR22" s="30"/>
      <c r="AS22" s="30"/>
      <c r="AT22" s="30"/>
      <c r="AU22" s="30"/>
      <c r="AV22" s="30"/>
      <c r="AW22" s="30"/>
      <c r="AX22" s="30"/>
      <c r="AY22" s="30"/>
      <c r="AZ22" s="30"/>
      <c r="BA22" s="30"/>
      <c r="BB22" s="30"/>
      <c r="BC22" s="30"/>
      <c r="BD22" s="30"/>
      <c r="BE22" s="30"/>
      <c r="BF22" s="31"/>
    </row>
    <row r="23" spans="1:58">
      <c r="A23" s="29"/>
      <c r="B23" s="30"/>
      <c r="C23" s="30"/>
      <c r="D23" s="30"/>
      <c r="E23" s="30"/>
      <c r="F23" s="30"/>
      <c r="G23" s="30"/>
      <c r="H23" s="30"/>
      <c r="I23" s="30"/>
      <c r="J23" s="30"/>
      <c r="K23" s="30"/>
      <c r="L23" s="30"/>
      <c r="M23" s="30"/>
      <c r="N23" s="30"/>
      <c r="O23" s="30"/>
      <c r="P23" s="30"/>
      <c r="Q23" s="30"/>
      <c r="R23" s="30"/>
      <c r="S23" s="30"/>
      <c r="T23" s="30"/>
      <c r="U23" s="30"/>
      <c r="V23" s="30"/>
      <c r="W23" s="30"/>
      <c r="X23" s="30"/>
      <c r="Y23" s="30"/>
      <c r="Z23" s="30"/>
      <c r="AA23" s="30"/>
      <c r="AB23" s="30"/>
      <c r="AC23" s="30"/>
      <c r="AD23" s="30"/>
      <c r="AE23" s="30"/>
      <c r="AF23" s="30"/>
      <c r="AG23" s="30"/>
      <c r="AH23" s="30"/>
      <c r="AI23" s="30"/>
      <c r="AJ23" s="30"/>
      <c r="AK23" s="30"/>
      <c r="AL23" s="30"/>
      <c r="AM23" s="30"/>
      <c r="AN23" s="30"/>
      <c r="AO23" s="30"/>
      <c r="AP23" s="30"/>
      <c r="AQ23" s="30"/>
      <c r="AR23" s="30"/>
      <c r="AS23" s="30"/>
      <c r="AT23" s="30"/>
      <c r="AU23" s="30"/>
      <c r="AV23" s="30"/>
      <c r="AW23" s="30"/>
      <c r="AX23" s="30"/>
      <c r="AY23" s="30"/>
      <c r="AZ23" s="30"/>
      <c r="BA23" s="30"/>
      <c r="BB23" s="30"/>
      <c r="BC23" s="30"/>
      <c r="BD23" s="30"/>
      <c r="BE23" s="30"/>
      <c r="BF23" s="31"/>
    </row>
    <row r="24" spans="1:58">
      <c r="A24" s="29"/>
      <c r="B24" s="30"/>
      <c r="C24" s="30"/>
      <c r="D24" s="30"/>
      <c r="E24" s="30"/>
      <c r="F24" s="30"/>
      <c r="G24" s="30"/>
      <c r="H24" s="30"/>
      <c r="I24" s="30"/>
      <c r="J24" s="30"/>
      <c r="K24" s="30"/>
      <c r="L24" s="30"/>
      <c r="M24" s="30"/>
      <c r="N24" s="30"/>
      <c r="O24" s="30"/>
      <c r="P24" s="30"/>
      <c r="Q24" s="30"/>
      <c r="R24" s="30"/>
      <c r="S24" s="30"/>
      <c r="T24" s="30"/>
      <c r="U24" s="30"/>
      <c r="V24" s="30"/>
      <c r="W24" s="30"/>
      <c r="X24" s="30"/>
      <c r="Y24" s="30"/>
      <c r="Z24" s="30"/>
      <c r="AA24" s="30"/>
      <c r="AB24" s="30"/>
      <c r="AC24" s="30"/>
      <c r="AD24" s="30"/>
      <c r="AE24" s="30"/>
      <c r="AF24" s="30"/>
      <c r="AG24" s="30"/>
      <c r="AH24" s="30"/>
      <c r="AI24" s="30"/>
      <c r="AJ24" s="30"/>
      <c r="AK24" s="30"/>
      <c r="AL24" s="30"/>
      <c r="AM24" s="30"/>
      <c r="AN24" s="30"/>
      <c r="AO24" s="30"/>
      <c r="AP24" s="30"/>
      <c r="AQ24" s="30"/>
      <c r="AR24" s="30"/>
      <c r="AS24" s="30"/>
      <c r="AT24" s="30"/>
      <c r="AU24" s="30"/>
      <c r="AV24" s="30"/>
      <c r="AW24" s="30"/>
      <c r="AX24" s="30"/>
      <c r="AY24" s="30"/>
      <c r="AZ24" s="30"/>
      <c r="BA24" s="30"/>
      <c r="BB24" s="30"/>
      <c r="BC24" s="30"/>
      <c r="BD24" s="30"/>
      <c r="BE24" s="30"/>
      <c r="BF24" s="31"/>
    </row>
    <row r="25" spans="1:58">
      <c r="A25" s="29"/>
      <c r="B25" s="30"/>
      <c r="C25" s="30"/>
      <c r="D25" s="30"/>
      <c r="E25" s="30"/>
      <c r="F25" s="30"/>
      <c r="G25" s="30"/>
      <c r="H25" s="30"/>
      <c r="I25" s="30"/>
      <c r="J25" s="30"/>
      <c r="K25" s="30"/>
      <c r="L25" s="30"/>
      <c r="M25" s="30"/>
      <c r="N25" s="30"/>
      <c r="O25" s="30"/>
      <c r="P25" s="30"/>
      <c r="Q25" s="30"/>
      <c r="R25" s="30"/>
      <c r="S25" s="30"/>
      <c r="T25" s="30"/>
      <c r="U25" s="30"/>
      <c r="V25" s="30"/>
      <c r="W25" s="30"/>
      <c r="X25" s="30"/>
      <c r="Y25" s="30"/>
      <c r="Z25" s="30"/>
      <c r="AA25" s="30"/>
      <c r="AB25" s="30"/>
      <c r="AC25" s="30"/>
      <c r="AD25" s="30"/>
      <c r="AE25" s="30"/>
      <c r="AF25" s="30"/>
      <c r="AG25" s="30"/>
      <c r="AH25" s="30"/>
      <c r="AI25" s="30"/>
      <c r="AJ25" s="30"/>
      <c r="AK25" s="30"/>
      <c r="AL25" s="30"/>
      <c r="AM25" s="30"/>
      <c r="AN25" s="30"/>
      <c r="AO25" s="30"/>
      <c r="AP25" s="30"/>
      <c r="AQ25" s="30"/>
      <c r="AR25" s="30"/>
      <c r="AS25" s="30"/>
      <c r="AT25" s="30"/>
      <c r="AU25" s="30"/>
      <c r="AV25" s="30"/>
      <c r="AW25" s="30"/>
      <c r="AX25" s="30"/>
      <c r="AY25" s="30"/>
      <c r="AZ25" s="30"/>
      <c r="BA25" s="30"/>
      <c r="BB25" s="30"/>
      <c r="BC25" s="30"/>
      <c r="BD25" s="30"/>
      <c r="BE25" s="30"/>
      <c r="BF25" s="31"/>
    </row>
    <row r="26" spans="1:58">
      <c r="A26" s="29"/>
      <c r="B26" s="30"/>
      <c r="C26" s="30"/>
      <c r="D26" s="30"/>
      <c r="E26" s="30"/>
      <c r="F26" s="30"/>
      <c r="G26" s="30"/>
      <c r="H26" s="30"/>
      <c r="I26" s="30"/>
      <c r="J26" s="30"/>
      <c r="K26" s="30"/>
      <c r="L26" s="30"/>
      <c r="M26" s="30"/>
      <c r="N26" s="30"/>
      <c r="O26" s="30"/>
      <c r="P26" s="30"/>
      <c r="Q26" s="30"/>
      <c r="R26" s="30"/>
      <c r="S26" s="30"/>
      <c r="T26" s="30"/>
      <c r="U26" s="30"/>
      <c r="V26" s="30"/>
      <c r="W26" s="30"/>
      <c r="X26" s="30"/>
      <c r="Y26" s="30"/>
      <c r="Z26" s="30"/>
      <c r="AA26" s="30"/>
      <c r="AB26" s="30"/>
      <c r="AC26" s="30"/>
      <c r="AD26" s="30"/>
      <c r="AE26" s="30"/>
      <c r="AF26" s="30"/>
      <c r="AG26" s="30"/>
      <c r="AH26" s="30"/>
      <c r="AI26" s="30"/>
      <c r="AJ26" s="30"/>
      <c r="AK26" s="30"/>
      <c r="AL26" s="30"/>
      <c r="AM26" s="30"/>
      <c r="AN26" s="30"/>
      <c r="AO26" s="30"/>
      <c r="AP26" s="30"/>
      <c r="AQ26" s="30"/>
      <c r="AR26" s="30"/>
      <c r="AS26" s="30"/>
      <c r="AT26" s="30"/>
      <c r="AU26" s="30"/>
      <c r="AV26" s="30"/>
      <c r="AW26" s="30"/>
      <c r="AX26" s="30"/>
      <c r="AY26" s="30"/>
      <c r="AZ26" s="30"/>
      <c r="BA26" s="30"/>
      <c r="BB26" s="30"/>
      <c r="BC26" s="30"/>
      <c r="BD26" s="30"/>
      <c r="BE26" s="30"/>
      <c r="BF26" s="31"/>
    </row>
    <row r="27" spans="1:58">
      <c r="A27" s="29"/>
      <c r="B27" s="30"/>
      <c r="C27" s="30"/>
      <c r="D27" s="30"/>
      <c r="E27" s="30"/>
      <c r="F27" s="30"/>
      <c r="G27" s="30"/>
      <c r="H27" s="30"/>
      <c r="I27" s="30"/>
      <c r="J27" s="30"/>
      <c r="K27" s="30"/>
      <c r="L27" s="30"/>
      <c r="M27" s="30"/>
      <c r="N27" s="30"/>
      <c r="O27" s="30"/>
      <c r="P27" s="30"/>
      <c r="Q27" s="30"/>
      <c r="R27" s="30" t="s">
        <v>69</v>
      </c>
      <c r="S27" s="30"/>
      <c r="T27" s="30"/>
      <c r="U27" s="30"/>
      <c r="V27" s="30"/>
      <c r="W27" s="30"/>
      <c r="X27" s="30"/>
      <c r="Y27" s="30"/>
      <c r="Z27" s="30"/>
      <c r="AA27" s="30"/>
      <c r="AB27" s="30"/>
      <c r="AC27" s="30"/>
      <c r="AD27" s="30"/>
      <c r="AE27" s="30"/>
      <c r="AF27" s="30"/>
      <c r="AG27" s="30"/>
      <c r="AH27" s="30"/>
      <c r="AI27" s="30"/>
      <c r="AJ27" s="30"/>
      <c r="AK27" s="30"/>
      <c r="AL27" s="30"/>
      <c r="AM27" s="30"/>
      <c r="AN27" s="30"/>
      <c r="AO27" s="30"/>
      <c r="AP27" s="30"/>
      <c r="AQ27" s="30"/>
      <c r="AR27" s="30"/>
      <c r="AS27" s="30"/>
      <c r="AT27" s="30"/>
      <c r="AU27" s="30"/>
      <c r="AV27" s="30"/>
      <c r="AW27" s="30"/>
      <c r="AX27" s="30"/>
      <c r="AY27" s="30"/>
      <c r="AZ27" s="30"/>
      <c r="BA27" s="30"/>
      <c r="BB27" s="30"/>
      <c r="BC27" s="30"/>
      <c r="BD27" s="30"/>
      <c r="BE27" s="30"/>
      <c r="BF27" s="31"/>
    </row>
    <row r="28" spans="1:58">
      <c r="A28" s="29"/>
      <c r="B28" s="30"/>
      <c r="C28" s="30"/>
      <c r="D28" s="30"/>
      <c r="E28" s="30"/>
      <c r="F28" s="30"/>
      <c r="G28" s="30"/>
      <c r="H28" s="30"/>
      <c r="I28" s="30"/>
      <c r="J28" s="30"/>
      <c r="K28" s="30"/>
      <c r="L28" s="30"/>
      <c r="M28" s="30"/>
      <c r="N28" s="30"/>
      <c r="O28" s="30"/>
      <c r="P28" s="30"/>
      <c r="Q28" s="30"/>
      <c r="R28" s="30"/>
      <c r="S28" s="30"/>
      <c r="T28" s="30"/>
      <c r="U28" s="30"/>
      <c r="V28" s="30"/>
      <c r="W28" s="30"/>
      <c r="X28" s="30"/>
      <c r="Y28" s="30"/>
      <c r="Z28" s="30"/>
      <c r="AA28" s="30"/>
      <c r="AB28" s="30"/>
      <c r="AC28" s="30"/>
      <c r="AD28" s="30"/>
      <c r="AE28" s="30"/>
      <c r="AF28" s="30"/>
      <c r="AG28" s="30"/>
      <c r="AH28" s="30"/>
      <c r="AI28" s="30"/>
      <c r="AJ28" s="30"/>
      <c r="AK28" s="30"/>
      <c r="AL28" s="30"/>
      <c r="AM28" s="30"/>
      <c r="AN28" s="30"/>
      <c r="AO28" s="30"/>
      <c r="AP28" s="30"/>
      <c r="AQ28" s="30"/>
      <c r="AR28" s="30"/>
      <c r="AS28" s="30"/>
      <c r="AT28" s="30"/>
      <c r="AU28" s="30"/>
      <c r="AV28" s="30"/>
      <c r="AW28" s="30"/>
      <c r="AX28" s="30"/>
      <c r="AY28" s="30"/>
      <c r="AZ28" s="30"/>
      <c r="BA28" s="30"/>
      <c r="BB28" s="30"/>
      <c r="BC28" s="30"/>
      <c r="BD28" s="30"/>
      <c r="BE28" s="30"/>
      <c r="BF28" s="31"/>
    </row>
    <row r="29" spans="1:58">
      <c r="A29" s="29"/>
      <c r="B29" s="30"/>
      <c r="C29" s="30"/>
      <c r="D29" s="30"/>
      <c r="E29" s="30"/>
      <c r="F29" s="30"/>
      <c r="G29" s="30"/>
      <c r="H29" s="30"/>
      <c r="I29" s="30"/>
      <c r="J29" s="30"/>
      <c r="K29" s="30"/>
      <c r="L29" s="30"/>
      <c r="M29" s="30"/>
      <c r="N29" s="30"/>
      <c r="O29" s="30"/>
      <c r="P29" s="30"/>
      <c r="Q29" s="30"/>
      <c r="R29" s="30"/>
      <c r="S29" s="30"/>
      <c r="T29" s="30"/>
      <c r="U29" s="30"/>
      <c r="V29" s="30"/>
      <c r="W29" s="30"/>
      <c r="X29" s="30"/>
      <c r="Y29" s="30"/>
      <c r="Z29" s="30"/>
      <c r="AA29" s="30"/>
      <c r="AB29" s="30"/>
      <c r="AC29" s="30"/>
      <c r="AD29" s="30"/>
      <c r="AE29" s="30"/>
      <c r="AF29" s="30"/>
      <c r="AG29" s="30"/>
      <c r="AH29" s="30"/>
      <c r="AI29" s="30"/>
      <c r="AJ29" s="30"/>
      <c r="AK29" s="30"/>
      <c r="AL29" s="30"/>
      <c r="AM29" s="30"/>
      <c r="AN29" s="30"/>
      <c r="AO29" s="30"/>
      <c r="AP29" s="30"/>
      <c r="AQ29" s="30"/>
      <c r="AR29" s="30"/>
      <c r="AS29" s="30"/>
      <c r="AT29" s="30"/>
      <c r="AU29" s="30"/>
      <c r="AV29" s="30"/>
      <c r="AW29" s="30"/>
      <c r="AX29" s="30"/>
      <c r="AY29" s="30"/>
      <c r="AZ29" s="30"/>
      <c r="BA29" s="30"/>
      <c r="BB29" s="30"/>
      <c r="BC29" s="30"/>
      <c r="BD29" s="30"/>
      <c r="BE29" s="30"/>
      <c r="BF29" s="31"/>
    </row>
    <row r="30" spans="1:58">
      <c r="A30" s="29"/>
      <c r="B30" s="30"/>
      <c r="C30" s="30"/>
      <c r="D30" s="30"/>
      <c r="E30" s="30"/>
      <c r="F30" s="30"/>
      <c r="G30" s="30"/>
      <c r="H30" s="30"/>
      <c r="I30" s="30"/>
      <c r="J30" s="30"/>
      <c r="K30" s="30"/>
      <c r="L30" s="30"/>
      <c r="M30" s="30"/>
      <c r="N30" s="30"/>
      <c r="O30" s="30"/>
      <c r="P30" s="30"/>
      <c r="Q30" s="30"/>
      <c r="R30" s="30"/>
      <c r="S30" s="30"/>
      <c r="T30" s="30"/>
      <c r="U30" s="30"/>
      <c r="V30" s="30"/>
      <c r="W30" s="30"/>
      <c r="X30" s="30"/>
      <c r="Y30" s="30"/>
      <c r="Z30" s="30"/>
      <c r="AA30" s="30"/>
      <c r="AB30" s="30"/>
      <c r="AC30" s="30"/>
      <c r="AD30" s="30"/>
      <c r="AE30" s="30"/>
      <c r="AF30" s="30"/>
      <c r="AG30" s="30"/>
      <c r="AH30" s="30"/>
      <c r="AI30" s="30"/>
      <c r="AJ30" s="30"/>
      <c r="AK30" s="30"/>
      <c r="AL30" s="30"/>
      <c r="AM30" s="30"/>
      <c r="AN30" s="30"/>
      <c r="AO30" s="30"/>
      <c r="AP30" s="30"/>
      <c r="AQ30" s="30"/>
      <c r="AR30" s="30"/>
      <c r="AS30" s="30"/>
      <c r="AT30" s="30"/>
      <c r="AU30" s="30"/>
      <c r="AV30" s="30"/>
      <c r="AW30" s="30"/>
      <c r="AX30" s="30"/>
      <c r="AY30" s="30"/>
      <c r="AZ30" s="30"/>
      <c r="BA30" s="30"/>
      <c r="BB30" s="30"/>
      <c r="BC30" s="30"/>
      <c r="BD30" s="30"/>
      <c r="BE30" s="30"/>
      <c r="BF30" s="31"/>
    </row>
    <row r="31" spans="1:58">
      <c r="A31" s="29"/>
      <c r="B31" s="30"/>
      <c r="C31" s="30"/>
      <c r="D31" s="30"/>
      <c r="E31" s="30"/>
      <c r="F31" s="30"/>
      <c r="G31" s="30"/>
      <c r="H31" s="30"/>
      <c r="I31" s="30"/>
      <c r="J31" s="30"/>
      <c r="K31" s="30"/>
      <c r="L31" s="30"/>
      <c r="M31" s="30"/>
      <c r="N31" s="30"/>
      <c r="O31" s="30"/>
      <c r="P31" s="30"/>
      <c r="Q31" s="30"/>
      <c r="R31" s="30"/>
      <c r="S31" s="30"/>
      <c r="T31" s="30"/>
      <c r="U31" s="30"/>
      <c r="V31" s="30"/>
      <c r="W31" s="30"/>
      <c r="X31" s="30"/>
      <c r="Y31" s="30"/>
      <c r="Z31" s="30"/>
      <c r="AA31" s="30"/>
      <c r="AB31" s="30"/>
      <c r="AC31" s="30"/>
      <c r="AD31" s="30"/>
      <c r="AE31" s="30"/>
      <c r="AF31" s="30"/>
      <c r="AG31" s="30"/>
      <c r="AH31" s="30"/>
      <c r="AI31" s="30"/>
      <c r="AJ31" s="30"/>
      <c r="AK31" s="30"/>
      <c r="AL31" s="30"/>
      <c r="AM31" s="30"/>
      <c r="AN31" s="30"/>
      <c r="AO31" s="30"/>
      <c r="AP31" s="30"/>
      <c r="AQ31" s="30"/>
      <c r="AR31" s="30"/>
      <c r="AS31" s="30"/>
      <c r="AT31" s="30"/>
      <c r="AU31" s="30"/>
      <c r="AV31" s="30"/>
      <c r="AW31" s="30"/>
      <c r="AX31" s="30"/>
      <c r="AY31" s="30"/>
      <c r="AZ31" s="30"/>
      <c r="BA31" s="30"/>
      <c r="BB31" s="30"/>
      <c r="BC31" s="30"/>
      <c r="BD31" s="30"/>
      <c r="BE31" s="30"/>
      <c r="BF31" s="31"/>
    </row>
    <row r="32" spans="1:58">
      <c r="A32" s="29"/>
      <c r="B32" s="30"/>
      <c r="C32" s="30"/>
      <c r="D32" s="30"/>
      <c r="E32" s="30"/>
      <c r="F32" s="30"/>
      <c r="G32" s="30"/>
      <c r="H32" s="30"/>
      <c r="I32" s="30"/>
      <c r="J32" s="30"/>
      <c r="K32" s="30"/>
      <c r="L32" s="30"/>
      <c r="M32" s="30"/>
      <c r="N32" s="30"/>
      <c r="O32" s="30"/>
      <c r="P32" s="30"/>
      <c r="Q32" s="30"/>
      <c r="R32" s="30"/>
      <c r="S32" s="30"/>
      <c r="T32" s="30"/>
      <c r="U32" s="30"/>
      <c r="V32" s="30"/>
      <c r="W32" s="30"/>
      <c r="X32" s="30"/>
      <c r="Y32" s="30"/>
      <c r="Z32" s="30"/>
      <c r="AA32" s="30"/>
      <c r="AB32" s="30"/>
      <c r="AC32" s="30"/>
      <c r="AD32" s="30"/>
      <c r="AE32" s="30"/>
      <c r="AF32" s="30"/>
      <c r="AG32" s="30"/>
      <c r="AH32" s="30"/>
      <c r="AI32" s="30"/>
      <c r="AJ32" s="30"/>
      <c r="AK32" s="30"/>
      <c r="AL32" s="30"/>
      <c r="AM32" s="30"/>
      <c r="AN32" s="30"/>
      <c r="AO32" s="30"/>
      <c r="AP32" s="30"/>
      <c r="AQ32" s="30"/>
      <c r="AR32" s="30"/>
      <c r="AS32" s="30"/>
      <c r="AT32" s="30"/>
      <c r="AU32" s="30"/>
      <c r="AV32" s="30"/>
      <c r="AW32" s="30"/>
      <c r="AX32" s="30"/>
      <c r="AY32" s="30"/>
      <c r="AZ32" s="30"/>
      <c r="BA32" s="30"/>
      <c r="BB32" s="30"/>
      <c r="BC32" s="30"/>
      <c r="BD32" s="30"/>
      <c r="BE32" s="30"/>
      <c r="BF32" s="31"/>
    </row>
    <row r="33" spans="1:58">
      <c r="A33" s="29"/>
      <c r="B33" s="30"/>
      <c r="C33" s="30" t="s">
        <v>64</v>
      </c>
      <c r="D33" s="30"/>
      <c r="E33" s="30"/>
      <c r="F33" s="30"/>
      <c r="G33" s="30"/>
      <c r="H33" s="30"/>
      <c r="I33" s="30"/>
      <c r="J33" s="30"/>
      <c r="K33" s="30"/>
      <c r="L33" s="30"/>
      <c r="M33" s="30"/>
      <c r="N33" s="30"/>
      <c r="O33" s="30"/>
      <c r="P33" s="30"/>
      <c r="Q33" s="30"/>
      <c r="R33" s="30"/>
      <c r="S33" s="30"/>
      <c r="T33" s="30"/>
      <c r="U33" s="30"/>
      <c r="V33" s="30"/>
      <c r="W33" s="30"/>
      <c r="X33" s="30"/>
      <c r="Y33" s="30"/>
      <c r="Z33" s="30"/>
      <c r="AA33" s="30"/>
      <c r="AB33" s="30"/>
      <c r="AC33" s="30"/>
      <c r="AD33" s="30"/>
      <c r="AE33" s="30"/>
      <c r="AF33" s="30"/>
      <c r="AG33" s="30"/>
      <c r="AH33" s="30"/>
      <c r="AI33" s="30"/>
      <c r="AJ33" s="30"/>
      <c r="AK33" s="30"/>
      <c r="AL33" s="30"/>
      <c r="AM33" s="30"/>
      <c r="AN33" s="30"/>
      <c r="AO33" s="30"/>
      <c r="AP33" s="30"/>
      <c r="AQ33" s="30"/>
      <c r="AR33" s="30"/>
      <c r="AS33" s="30"/>
      <c r="AT33" s="30"/>
      <c r="AU33" s="30"/>
      <c r="AV33" s="30"/>
      <c r="AW33" s="30"/>
      <c r="AX33" s="30"/>
      <c r="AY33" s="30"/>
      <c r="AZ33" s="30"/>
      <c r="BA33" s="30"/>
      <c r="BB33" s="30"/>
      <c r="BC33" s="30"/>
      <c r="BD33" s="30"/>
      <c r="BE33" s="30"/>
      <c r="BF33" s="31"/>
    </row>
    <row r="34" spans="1:58">
      <c r="A34" s="29"/>
      <c r="B34" s="30"/>
      <c r="C34" s="30"/>
      <c r="D34" s="30"/>
      <c r="E34" s="30"/>
      <c r="F34" s="30"/>
      <c r="G34" s="30"/>
      <c r="H34" s="30"/>
      <c r="I34" s="30"/>
      <c r="J34" s="30"/>
      <c r="K34" s="30"/>
      <c r="L34" s="30"/>
      <c r="M34" s="30"/>
      <c r="N34" s="30"/>
      <c r="O34" s="30"/>
      <c r="P34" s="30"/>
      <c r="Q34" s="30" t="s">
        <v>70</v>
      </c>
      <c r="R34" s="30"/>
      <c r="S34" s="30"/>
      <c r="T34" s="30"/>
      <c r="U34" s="30"/>
      <c r="V34" s="30"/>
      <c r="W34" s="30"/>
      <c r="X34" s="30"/>
      <c r="Y34" s="30"/>
      <c r="Z34" s="30"/>
      <c r="AA34" s="30"/>
      <c r="AB34" s="30"/>
      <c r="AC34" s="30"/>
      <c r="AD34" s="30"/>
      <c r="AE34" s="30"/>
      <c r="AF34" s="30"/>
      <c r="AG34" s="30"/>
      <c r="AH34" s="30"/>
      <c r="AI34" s="30"/>
      <c r="AJ34" s="30"/>
      <c r="AK34" s="30"/>
      <c r="AL34" s="30"/>
      <c r="AM34" s="30"/>
      <c r="AN34" s="30"/>
      <c r="AO34" s="30"/>
      <c r="AP34" s="30"/>
      <c r="AQ34" s="30"/>
      <c r="AR34" s="30"/>
      <c r="AS34" s="30"/>
      <c r="AT34" s="30"/>
      <c r="AU34" s="30"/>
      <c r="AV34" s="30"/>
      <c r="AW34" s="30"/>
      <c r="AX34" s="30"/>
      <c r="AY34" s="30"/>
      <c r="AZ34" s="30"/>
      <c r="BA34" s="30"/>
      <c r="BB34" s="30"/>
      <c r="BC34" s="30"/>
      <c r="BD34" s="30"/>
      <c r="BE34" s="30"/>
      <c r="BF34" s="31"/>
    </row>
    <row r="35" spans="1:58">
      <c r="A35" s="29"/>
      <c r="B35" s="30"/>
      <c r="C35" s="30"/>
      <c r="D35" s="30"/>
      <c r="E35" s="30"/>
      <c r="F35" s="30"/>
      <c r="G35" s="30"/>
      <c r="H35" s="30"/>
      <c r="I35" s="30"/>
      <c r="J35" s="30"/>
      <c r="K35" s="30"/>
      <c r="L35" s="30"/>
      <c r="M35" s="30"/>
      <c r="N35" s="30"/>
      <c r="O35" s="30"/>
      <c r="P35" s="30"/>
      <c r="Q35" s="30"/>
      <c r="R35" s="30"/>
      <c r="S35" s="30"/>
      <c r="T35" s="30"/>
      <c r="U35" s="30"/>
      <c r="V35" s="30"/>
      <c r="W35" s="30"/>
      <c r="X35" s="30"/>
      <c r="Y35" s="30"/>
      <c r="Z35" s="30"/>
      <c r="AA35" s="30"/>
      <c r="AB35" s="30"/>
      <c r="AC35" s="30"/>
      <c r="AD35" s="30"/>
      <c r="AE35" s="30"/>
      <c r="AF35" s="30"/>
      <c r="AG35" s="30"/>
      <c r="AH35" s="30"/>
      <c r="AI35" s="30"/>
      <c r="AJ35" s="30"/>
      <c r="AK35" s="30"/>
      <c r="AL35" s="30"/>
      <c r="AM35" s="30"/>
      <c r="AN35" s="30"/>
      <c r="AO35" s="30"/>
      <c r="AP35" s="30"/>
      <c r="AQ35" s="30"/>
      <c r="AR35" s="30"/>
      <c r="AS35" s="30"/>
      <c r="AT35" s="30"/>
      <c r="AU35" s="30"/>
      <c r="AV35" s="30"/>
      <c r="AW35" s="30"/>
      <c r="AX35" s="30"/>
      <c r="AY35" s="30"/>
      <c r="AZ35" s="30"/>
      <c r="BA35" s="30"/>
      <c r="BB35" s="30"/>
      <c r="BC35" s="30"/>
      <c r="BD35" s="30"/>
      <c r="BE35" s="30"/>
      <c r="BF35" s="31"/>
    </row>
    <row r="36" spans="1:58">
      <c r="A36" s="29"/>
      <c r="B36" s="30"/>
      <c r="C36" s="30"/>
      <c r="D36" s="30"/>
      <c r="E36" s="30"/>
      <c r="F36" s="30"/>
      <c r="G36" s="30"/>
      <c r="H36" s="30"/>
      <c r="I36" s="30"/>
      <c r="J36" s="30"/>
      <c r="K36" s="30"/>
      <c r="L36" s="30"/>
      <c r="M36" s="30"/>
      <c r="N36" s="30"/>
      <c r="O36" s="30"/>
      <c r="P36" s="30"/>
      <c r="Q36" s="30"/>
      <c r="R36" s="30"/>
      <c r="S36" s="30"/>
      <c r="T36" s="30"/>
      <c r="U36" s="30"/>
      <c r="V36" s="30"/>
      <c r="W36" s="30"/>
      <c r="X36" s="30"/>
      <c r="Y36" s="30"/>
      <c r="Z36" s="30"/>
      <c r="AA36" s="30"/>
      <c r="AB36" s="30"/>
      <c r="AC36" s="30"/>
      <c r="AD36" s="30"/>
      <c r="AE36" s="30"/>
      <c r="AF36" s="30"/>
      <c r="AG36" s="30"/>
      <c r="AH36" s="30"/>
      <c r="AI36" s="30"/>
      <c r="AJ36" s="30"/>
      <c r="AK36" s="30"/>
      <c r="AL36" s="30"/>
      <c r="AM36" s="30"/>
      <c r="AN36" s="30"/>
      <c r="AO36" s="30"/>
      <c r="AP36" s="30"/>
      <c r="AQ36" s="30"/>
      <c r="AR36" s="30"/>
      <c r="AS36" s="30"/>
      <c r="AT36" s="30"/>
      <c r="AU36" s="30"/>
      <c r="AV36" s="30"/>
      <c r="AW36" s="30"/>
      <c r="AX36" s="30"/>
      <c r="AY36" s="30"/>
      <c r="AZ36" s="30"/>
      <c r="BA36" s="30"/>
      <c r="BB36" s="30"/>
      <c r="BC36" s="30"/>
      <c r="BD36" s="30"/>
      <c r="BE36" s="30"/>
      <c r="BF36" s="31"/>
    </row>
    <row r="37" spans="1:58">
      <c r="A37" s="29"/>
      <c r="B37" s="30"/>
      <c r="C37" s="30"/>
      <c r="D37" s="30"/>
      <c r="E37" s="30"/>
      <c r="F37" s="30"/>
      <c r="G37" s="30"/>
      <c r="H37" s="30"/>
      <c r="I37" s="30"/>
      <c r="J37" s="30"/>
      <c r="K37" s="30"/>
      <c r="L37" s="30"/>
      <c r="M37" s="30"/>
      <c r="N37" s="30"/>
      <c r="O37" s="30"/>
      <c r="P37" s="30"/>
      <c r="Q37" s="30"/>
      <c r="R37" s="30"/>
      <c r="S37" s="30"/>
      <c r="T37" s="30"/>
      <c r="U37" s="30"/>
      <c r="V37" s="30"/>
      <c r="W37" s="30"/>
      <c r="X37" s="30"/>
      <c r="Y37" s="30"/>
      <c r="Z37" s="30"/>
      <c r="AA37" s="30"/>
      <c r="AB37" s="30"/>
      <c r="AC37" s="30"/>
      <c r="AD37" s="30"/>
      <c r="AE37" s="30"/>
      <c r="AF37" s="30"/>
      <c r="AG37" s="30"/>
      <c r="AH37" s="30"/>
      <c r="AI37" s="30"/>
      <c r="AJ37" s="30"/>
      <c r="AK37" s="30"/>
      <c r="AL37" s="30"/>
      <c r="AM37" s="30"/>
      <c r="AN37" s="30"/>
      <c r="AO37" s="30"/>
      <c r="AP37" s="30"/>
      <c r="AQ37" s="30"/>
      <c r="AR37" s="30"/>
      <c r="AS37" s="30"/>
      <c r="AT37" s="30"/>
      <c r="AU37" s="30"/>
      <c r="AV37" s="30"/>
      <c r="AW37" s="30"/>
      <c r="AX37" s="30"/>
      <c r="AY37" s="30"/>
      <c r="AZ37" s="30"/>
      <c r="BA37" s="30"/>
      <c r="BB37" s="30"/>
      <c r="BC37" s="30"/>
      <c r="BD37" s="30"/>
      <c r="BE37" s="30"/>
      <c r="BF37" s="31"/>
    </row>
    <row r="38" spans="1:58">
      <c r="A38" s="29"/>
      <c r="B38" s="30"/>
      <c r="C38" s="30"/>
      <c r="D38" s="30"/>
      <c r="E38" s="30"/>
      <c r="F38" s="30"/>
      <c r="G38" s="30"/>
      <c r="H38" s="30"/>
      <c r="I38" s="30"/>
      <c r="J38" s="30"/>
      <c r="K38" s="30"/>
      <c r="L38" s="30"/>
      <c r="M38" s="30"/>
      <c r="N38" s="30"/>
      <c r="O38" s="30"/>
      <c r="P38" s="30"/>
      <c r="Q38" s="30"/>
      <c r="R38" s="30"/>
      <c r="S38" s="30"/>
      <c r="T38" s="30"/>
      <c r="U38" s="30"/>
      <c r="V38" s="30"/>
      <c r="W38" s="30"/>
      <c r="X38" s="30"/>
      <c r="Y38" s="30"/>
      <c r="Z38" s="30"/>
      <c r="AA38" s="30"/>
      <c r="AB38" s="30"/>
      <c r="AC38" s="30"/>
      <c r="AD38" s="30"/>
      <c r="AE38" s="30"/>
      <c r="AF38" s="30"/>
      <c r="AG38" s="30"/>
      <c r="AH38" s="30"/>
      <c r="AI38" s="30"/>
      <c r="AJ38" s="30"/>
      <c r="AK38" s="30"/>
      <c r="AL38" s="30"/>
      <c r="AM38" s="30"/>
      <c r="AN38" s="30"/>
      <c r="AO38" s="30"/>
      <c r="AP38" s="30"/>
      <c r="AQ38" s="30"/>
      <c r="AR38" s="30"/>
      <c r="AS38" s="30"/>
      <c r="AT38" s="30"/>
      <c r="AU38" s="30"/>
      <c r="AV38" s="30"/>
      <c r="AW38" s="30"/>
      <c r="AX38" s="30"/>
      <c r="AY38" s="30"/>
      <c r="AZ38" s="30"/>
      <c r="BA38" s="30"/>
      <c r="BB38" s="30"/>
      <c r="BC38" s="30"/>
      <c r="BD38" s="30"/>
      <c r="BE38" s="30"/>
      <c r="BF38" s="31"/>
    </row>
    <row r="39" spans="1:58">
      <c r="A39" s="29"/>
      <c r="B39" s="30"/>
      <c r="C39" s="30"/>
      <c r="D39" s="30"/>
      <c r="E39" s="30"/>
      <c r="F39" s="30"/>
      <c r="G39" s="30"/>
      <c r="H39" s="30"/>
      <c r="I39" s="30"/>
      <c r="J39" s="30"/>
      <c r="K39" s="30"/>
      <c r="L39" s="30"/>
      <c r="M39" s="30"/>
      <c r="N39" s="30"/>
      <c r="O39" s="30"/>
      <c r="P39" s="30"/>
      <c r="Q39" s="30"/>
      <c r="R39" s="30"/>
      <c r="S39" s="30"/>
      <c r="T39" s="30"/>
      <c r="U39" s="30"/>
      <c r="V39" s="30"/>
      <c r="W39" s="30"/>
      <c r="X39" s="30"/>
      <c r="Y39" s="30"/>
      <c r="Z39" s="30"/>
      <c r="AA39" s="30"/>
      <c r="AB39" s="30"/>
      <c r="AC39" s="30"/>
      <c r="AD39" s="30"/>
      <c r="AE39" s="30"/>
      <c r="AF39" s="30"/>
      <c r="AG39" s="30"/>
      <c r="AH39" s="30"/>
      <c r="AI39" s="30"/>
      <c r="AJ39" s="30"/>
      <c r="AK39" s="30"/>
      <c r="AL39" s="30"/>
      <c r="AM39" s="30"/>
      <c r="AN39" s="30"/>
      <c r="AO39" s="30"/>
      <c r="AP39" s="30"/>
      <c r="AQ39" s="30"/>
      <c r="AR39" s="30"/>
      <c r="AS39" s="30"/>
      <c r="AT39" s="30"/>
      <c r="AU39" s="30"/>
      <c r="AV39" s="30"/>
      <c r="AW39" s="30"/>
      <c r="AX39" s="30"/>
      <c r="AY39" s="30"/>
      <c r="AZ39" s="30"/>
      <c r="BA39" s="30"/>
      <c r="BB39" s="30"/>
      <c r="BC39" s="30"/>
      <c r="BD39" s="30"/>
      <c r="BE39" s="30"/>
      <c r="BF39" s="31"/>
    </row>
    <row r="40" spans="1:58">
      <c r="A40" s="29"/>
      <c r="B40" s="30"/>
      <c r="C40" s="30"/>
      <c r="D40" s="30"/>
      <c r="E40" s="30"/>
      <c r="F40" s="30"/>
      <c r="G40" s="30"/>
      <c r="H40" s="30"/>
      <c r="I40" s="30"/>
      <c r="J40" s="30"/>
      <c r="K40" s="30"/>
      <c r="L40" s="30"/>
      <c r="M40" s="30"/>
      <c r="N40" s="30"/>
      <c r="O40" s="30"/>
      <c r="P40" s="30"/>
      <c r="Q40" s="30"/>
      <c r="R40" s="30"/>
      <c r="S40" s="30"/>
      <c r="T40" s="30"/>
      <c r="U40" s="30"/>
      <c r="V40" s="30"/>
      <c r="W40" s="30"/>
      <c r="X40" s="30"/>
      <c r="Y40" s="30"/>
      <c r="Z40" s="30"/>
      <c r="AA40" s="30"/>
      <c r="AB40" s="30"/>
      <c r="AC40" s="30"/>
      <c r="AD40" s="30"/>
      <c r="AE40" s="30"/>
      <c r="AF40" s="30"/>
      <c r="AG40" s="30"/>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1"/>
    </row>
    <row r="41" spans="1:58">
      <c r="A41" s="29"/>
      <c r="B41" s="30"/>
      <c r="C41" s="30"/>
      <c r="D41" s="30"/>
      <c r="E41" s="30"/>
      <c r="F41" s="30"/>
      <c r="G41" s="30"/>
      <c r="H41" s="30"/>
      <c r="I41" s="30"/>
      <c r="J41" s="30"/>
      <c r="K41" s="30"/>
      <c r="L41" s="30"/>
      <c r="M41" s="30"/>
      <c r="N41" s="30"/>
      <c r="O41" s="30"/>
      <c r="P41" s="30"/>
      <c r="Q41" s="30"/>
      <c r="R41" s="30"/>
      <c r="S41" s="30"/>
      <c r="T41" s="30"/>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1"/>
    </row>
    <row r="42" spans="1:58">
      <c r="A42" s="29"/>
      <c r="B42" s="30"/>
      <c r="C42" s="30"/>
      <c r="D42" s="30"/>
      <c r="E42" s="30"/>
      <c r="F42" s="30"/>
      <c r="G42" s="30"/>
      <c r="H42" s="30"/>
      <c r="I42" s="30"/>
      <c r="J42" s="30"/>
      <c r="K42" s="30"/>
      <c r="L42" s="30"/>
      <c r="M42" s="30"/>
      <c r="N42" s="30"/>
      <c r="O42" s="30"/>
      <c r="P42" s="30"/>
      <c r="Q42" s="30"/>
      <c r="R42" s="30"/>
      <c r="S42" s="30"/>
      <c r="T42" s="30"/>
      <c r="U42" s="30"/>
      <c r="V42" s="30"/>
      <c r="W42" s="30"/>
      <c r="X42" s="30"/>
      <c r="Y42" s="30"/>
      <c r="Z42" s="30"/>
      <c r="AA42" s="30"/>
      <c r="AB42" s="30"/>
      <c r="AC42" s="30"/>
      <c r="AD42" s="30"/>
      <c r="AE42" s="30"/>
      <c r="AF42" s="30"/>
      <c r="AG42" s="30"/>
      <c r="AH42" s="30"/>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1"/>
    </row>
    <row r="43" spans="1:58">
      <c r="A43" s="29"/>
      <c r="B43" s="30"/>
      <c r="C43" s="30"/>
      <c r="D43" s="30"/>
      <c r="E43" s="30"/>
      <c r="F43" s="30"/>
      <c r="G43" s="30"/>
      <c r="H43" s="30"/>
      <c r="I43" s="30"/>
      <c r="J43" s="30"/>
      <c r="K43" s="30"/>
      <c r="L43" s="30"/>
      <c r="M43" s="30"/>
      <c r="N43" s="30"/>
      <c r="O43" s="30"/>
      <c r="P43" s="30"/>
      <c r="Q43" s="30"/>
      <c r="R43" s="30"/>
      <c r="S43" s="30"/>
      <c r="T43" s="30"/>
      <c r="U43" s="30"/>
      <c r="V43" s="30"/>
      <c r="W43" s="30"/>
      <c r="X43" s="30"/>
      <c r="Y43" s="30"/>
      <c r="Z43" s="30"/>
      <c r="AA43" s="30"/>
      <c r="AB43" s="30"/>
      <c r="AC43" s="30"/>
      <c r="AD43" s="30"/>
      <c r="AE43" s="30"/>
      <c r="AF43" s="30"/>
      <c r="AG43" s="30"/>
      <c r="AH43" s="30"/>
      <c r="AI43" s="30"/>
      <c r="AJ43" s="30"/>
      <c r="AK43" s="30"/>
      <c r="AL43" s="30"/>
      <c r="AM43" s="30"/>
      <c r="AN43" s="30"/>
      <c r="AO43" s="30"/>
      <c r="AP43" s="30"/>
      <c r="AQ43" s="30"/>
      <c r="AR43" s="30"/>
      <c r="AS43" s="30"/>
      <c r="AT43" s="30"/>
      <c r="AU43" s="30"/>
      <c r="AV43" s="30"/>
      <c r="AW43" s="30"/>
      <c r="AX43" s="30"/>
      <c r="AY43" s="30"/>
      <c r="AZ43" s="30"/>
      <c r="BA43" s="30"/>
      <c r="BB43" s="30"/>
      <c r="BC43" s="30"/>
      <c r="BD43" s="30"/>
      <c r="BE43" s="30"/>
      <c r="BF43" s="31"/>
    </row>
    <row r="44" spans="1:58">
      <c r="A44" s="29"/>
      <c r="B44" s="30"/>
      <c r="C44" s="30"/>
      <c r="D44" s="30"/>
      <c r="E44" s="30"/>
      <c r="F44" s="30"/>
      <c r="G44" s="30"/>
      <c r="H44" s="30"/>
      <c r="I44" s="30"/>
      <c r="J44" s="30"/>
      <c r="K44" s="30"/>
      <c r="L44" s="30"/>
      <c r="M44" s="30"/>
      <c r="N44" s="30"/>
      <c r="O44" s="30"/>
      <c r="P44" s="30"/>
      <c r="Q44"/>
      <c r="R44" s="30"/>
      <c r="S44" s="30"/>
      <c r="T44" s="30"/>
      <c r="U44" s="30"/>
      <c r="V44" s="30"/>
      <c r="W44" s="30"/>
      <c r="X44" s="30"/>
      <c r="Y44" s="30"/>
      <c r="Z44" s="30"/>
      <c r="AA44" s="30"/>
      <c r="AB44" s="30"/>
      <c r="AC44" s="30"/>
      <c r="AD44" s="30"/>
      <c r="AE44" s="30"/>
      <c r="AF44" s="30"/>
      <c r="AG44" s="30"/>
      <c r="AH44" s="30"/>
      <c r="AI44" s="30"/>
      <c r="AJ44" s="30"/>
      <c r="AK44" s="30"/>
      <c r="AL44" s="30"/>
      <c r="AM44" s="30"/>
      <c r="AN44" s="30"/>
      <c r="AO44" s="30"/>
      <c r="AP44" s="30"/>
      <c r="AQ44" s="30"/>
      <c r="AR44" s="30"/>
      <c r="AS44" s="30"/>
      <c r="AT44" s="30"/>
      <c r="AU44" s="30"/>
      <c r="AV44" s="30"/>
      <c r="AW44" s="30"/>
      <c r="AX44" s="30"/>
      <c r="AY44" s="30"/>
      <c r="AZ44" s="30"/>
      <c r="BA44" s="30"/>
      <c r="BB44" s="30"/>
      <c r="BC44" s="30"/>
      <c r="BD44" s="30"/>
      <c r="BE44" s="30"/>
      <c r="BF44" s="31"/>
    </row>
    <row r="45" spans="1:58">
      <c r="A45" s="29"/>
      <c r="B45" s="30"/>
      <c r="C45" s="30"/>
      <c r="D45" s="30"/>
      <c r="E45" s="30"/>
      <c r="F45" s="30"/>
      <c r="G45" s="30"/>
      <c r="H45" s="30"/>
      <c r="I45" s="30"/>
      <c r="J45" s="30"/>
      <c r="K45" s="30"/>
      <c r="L45" s="30"/>
      <c r="M45" s="30"/>
      <c r="N45" s="30"/>
      <c r="O45" s="30"/>
      <c r="P45" s="30"/>
      <c r="Q45" s="30"/>
      <c r="R45" s="30"/>
      <c r="S45" s="30"/>
      <c r="T45" s="30"/>
      <c r="U45" s="30"/>
      <c r="V45" s="30"/>
      <c r="W45" s="30"/>
      <c r="X45" s="30"/>
      <c r="Y45" s="30"/>
      <c r="Z45" s="30"/>
      <c r="AA45" s="30"/>
      <c r="AB45" s="30"/>
      <c r="AC45" s="30"/>
      <c r="AD45" s="30"/>
      <c r="AE45" s="30"/>
      <c r="AF45" s="30"/>
      <c r="AG45" s="30"/>
      <c r="AH45" s="30"/>
      <c r="AI45" s="30"/>
      <c r="AJ45" s="30"/>
      <c r="AK45" s="30"/>
      <c r="AL45" s="30"/>
      <c r="AM45" s="30"/>
      <c r="AN45" s="30"/>
      <c r="AO45" s="30"/>
      <c r="AP45" s="30"/>
      <c r="AQ45" s="30"/>
      <c r="AR45" s="30"/>
      <c r="AS45" s="30"/>
      <c r="AT45" s="30"/>
      <c r="AU45" s="30"/>
      <c r="AV45" s="30"/>
      <c r="AW45" s="30"/>
      <c r="AX45" s="30"/>
      <c r="AY45" s="30"/>
      <c r="AZ45" s="30"/>
      <c r="BA45" s="30"/>
      <c r="BB45" s="30"/>
      <c r="BC45" s="30"/>
      <c r="BD45" s="30"/>
      <c r="BE45" s="30"/>
      <c r="BF45" s="31"/>
    </row>
    <row r="46" spans="1:58">
      <c r="A46" s="29"/>
      <c r="B46" s="30"/>
      <c r="C46" s="30"/>
      <c r="D46" s="30"/>
      <c r="E46" s="30"/>
      <c r="F46" s="30"/>
      <c r="G46" s="30"/>
      <c r="H46" s="30"/>
      <c r="I46" s="30"/>
      <c r="J46" s="30"/>
      <c r="K46" s="30"/>
      <c r="L46" s="30"/>
      <c r="M46" s="30"/>
      <c r="N46" s="30"/>
      <c r="O46" s="30"/>
      <c r="P46" s="30"/>
      <c r="Q46" s="30"/>
      <c r="R46" s="30"/>
      <c r="S46" s="30"/>
      <c r="T46" s="30"/>
      <c r="U46" s="30"/>
      <c r="V46" s="30"/>
      <c r="W46" s="30"/>
      <c r="X46" s="30"/>
      <c r="Y46" s="30"/>
      <c r="Z46" s="30"/>
      <c r="AA46" s="30"/>
      <c r="AB46" s="30"/>
      <c r="AC46" s="30"/>
      <c r="AD46" s="30"/>
      <c r="AE46" s="30"/>
      <c r="AF46" s="30"/>
      <c r="AG46" s="30"/>
      <c r="AH46" s="30"/>
      <c r="AI46" s="30"/>
      <c r="AJ46" s="30"/>
      <c r="AK46" s="30"/>
      <c r="AL46" s="30"/>
      <c r="AM46" s="30"/>
      <c r="AN46" s="30"/>
      <c r="AO46" s="30"/>
      <c r="AP46" s="30"/>
      <c r="AQ46" s="30"/>
      <c r="AR46" s="30"/>
      <c r="AS46" s="30"/>
      <c r="AT46" s="30"/>
      <c r="AU46" s="30"/>
      <c r="AV46" s="30"/>
      <c r="AW46" s="30"/>
      <c r="AX46" s="30"/>
      <c r="AY46" s="30"/>
      <c r="AZ46" s="30"/>
      <c r="BA46" s="30"/>
      <c r="BB46" s="30"/>
      <c r="BC46" s="30"/>
      <c r="BD46" s="30"/>
      <c r="BE46" s="30"/>
      <c r="BF46" s="31"/>
    </row>
    <row r="47" spans="1:58">
      <c r="A47" s="29"/>
      <c r="B47" s="30"/>
      <c r="C47" s="30"/>
      <c r="D47" s="30"/>
      <c r="E47" s="30"/>
      <c r="F47" s="30"/>
      <c r="G47" s="30"/>
      <c r="H47" s="30"/>
      <c r="I47" s="30"/>
      <c r="J47" s="30"/>
      <c r="K47" s="30"/>
      <c r="L47" s="30"/>
      <c r="M47" s="30"/>
      <c r="N47" s="30"/>
      <c r="O47" s="30"/>
      <c r="P47" s="30"/>
      <c r="Q47" s="30"/>
      <c r="R47" s="30"/>
      <c r="S47" s="30"/>
      <c r="T47" s="30"/>
      <c r="U47" s="30"/>
      <c r="V47" s="30"/>
      <c r="W47" s="30"/>
      <c r="X47" s="30"/>
      <c r="Y47" s="30"/>
      <c r="Z47" s="30"/>
      <c r="AA47" s="30"/>
      <c r="AB47" s="30"/>
      <c r="AC47" s="30"/>
      <c r="AD47" s="30"/>
      <c r="AE47" s="30"/>
      <c r="AF47" s="30"/>
      <c r="AG47" s="30"/>
      <c r="AH47" s="30"/>
      <c r="AI47" s="30"/>
      <c r="AJ47" s="30"/>
      <c r="AK47" s="30"/>
      <c r="AL47" s="30"/>
      <c r="AM47" s="30"/>
      <c r="AN47" s="30"/>
      <c r="AO47" s="30"/>
      <c r="AP47" s="30"/>
      <c r="AQ47" s="30"/>
      <c r="AR47" s="30"/>
      <c r="AS47" s="30"/>
      <c r="AT47" s="30"/>
      <c r="AU47" s="30"/>
      <c r="AV47" s="30"/>
      <c r="AW47" s="30"/>
      <c r="AX47" s="30"/>
      <c r="AY47" s="30"/>
      <c r="AZ47" s="30"/>
      <c r="BA47" s="30"/>
      <c r="BB47" s="30"/>
      <c r="BC47" s="30"/>
      <c r="BD47" s="30"/>
      <c r="BE47" s="30"/>
      <c r="BF47" s="31"/>
    </row>
    <row r="48" spans="1:58">
      <c r="A48" s="29"/>
      <c r="B48" s="30"/>
      <c r="C48" s="30"/>
      <c r="D48" s="30"/>
      <c r="E48" s="30"/>
      <c r="F48" s="30"/>
      <c r="G48" s="30"/>
      <c r="H48" s="30"/>
      <c r="I48" s="30"/>
      <c r="J48" s="30"/>
      <c r="K48" s="30"/>
      <c r="L48" s="30"/>
      <c r="M48" s="30"/>
      <c r="N48" s="30"/>
      <c r="O48" s="30"/>
      <c r="P48" s="30"/>
      <c r="Q48" s="30"/>
      <c r="R48" s="30"/>
      <c r="S48" s="30"/>
      <c r="T48" s="30"/>
      <c r="U48" s="30"/>
      <c r="V48" s="30"/>
      <c r="W48" s="30"/>
      <c r="X48" s="30"/>
      <c r="Y48" s="30"/>
      <c r="Z48" s="30"/>
      <c r="AA48" s="30"/>
      <c r="AB48" s="30"/>
      <c r="AC48" s="30"/>
      <c r="AD48" s="30"/>
      <c r="AE48" s="30"/>
      <c r="AF48" s="30"/>
      <c r="AG48" s="30"/>
      <c r="AH48" s="30"/>
      <c r="AI48" s="30"/>
      <c r="AJ48" s="30"/>
      <c r="AK48" s="30"/>
      <c r="AL48" s="30"/>
      <c r="AM48" s="30"/>
      <c r="AN48" s="30"/>
      <c r="AO48" s="30"/>
      <c r="AP48" s="30"/>
      <c r="AQ48" s="30"/>
      <c r="AR48" s="30"/>
      <c r="AS48" s="30"/>
      <c r="AT48" s="30"/>
      <c r="AU48" s="30"/>
      <c r="AV48" s="30"/>
      <c r="AW48" s="30"/>
      <c r="AX48" s="30"/>
      <c r="AY48" s="30"/>
      <c r="AZ48" s="30"/>
      <c r="BA48" s="30"/>
      <c r="BB48" s="30"/>
      <c r="BC48" s="30"/>
      <c r="BD48" s="30"/>
      <c r="BE48" s="30"/>
      <c r="BF48" s="31"/>
    </row>
    <row r="49" spans="1:58">
      <c r="A49" s="29"/>
      <c r="B49" s="30"/>
      <c r="C49" s="30"/>
      <c r="D49" s="30"/>
      <c r="E49" s="30"/>
      <c r="F49" s="30"/>
      <c r="G49" s="30"/>
      <c r="H49" s="30"/>
      <c r="I49" s="30"/>
      <c r="J49" s="30"/>
      <c r="K49" s="30"/>
      <c r="L49" s="30"/>
      <c r="M49" s="30"/>
      <c r="N49" s="30"/>
      <c r="O49" s="30"/>
      <c r="P49" s="30"/>
      <c r="Q49" s="30"/>
      <c r="R49" s="30"/>
      <c r="S49" s="30"/>
      <c r="T49" s="30"/>
      <c r="U49" s="30"/>
      <c r="V49" s="30"/>
      <c r="W49" s="30"/>
      <c r="X49" s="30"/>
      <c r="Y49" s="30"/>
      <c r="Z49" s="30"/>
      <c r="AA49" s="30"/>
      <c r="AB49" s="30"/>
      <c r="AC49" s="30"/>
      <c r="AD49" s="30"/>
      <c r="AE49" s="30"/>
      <c r="AF49" s="30"/>
      <c r="AG49" s="30"/>
      <c r="AH49" s="30"/>
      <c r="AI49" s="30"/>
      <c r="AJ49" s="30"/>
      <c r="AK49" s="30"/>
      <c r="AL49" s="30"/>
      <c r="AM49" s="30"/>
      <c r="AN49" s="30"/>
      <c r="AO49" s="30"/>
      <c r="AP49" s="30"/>
      <c r="AQ49" s="30"/>
      <c r="AR49" s="30"/>
      <c r="AS49" s="30"/>
      <c r="AT49" s="30"/>
      <c r="AU49" s="30"/>
      <c r="AV49" s="30"/>
      <c r="AW49" s="30"/>
      <c r="AX49" s="30"/>
      <c r="AY49" s="30"/>
      <c r="AZ49" s="30"/>
      <c r="BA49" s="30"/>
      <c r="BB49" s="30"/>
      <c r="BC49" s="30"/>
      <c r="BD49" s="30"/>
      <c r="BE49" s="30"/>
      <c r="BF49" s="31"/>
    </row>
    <row r="50" spans="1:58">
      <c r="A50" s="29"/>
      <c r="B50" s="30"/>
      <c r="C50" s="30"/>
      <c r="D50" s="30"/>
      <c r="E50" s="30"/>
      <c r="F50" s="30"/>
      <c r="G50" s="30"/>
      <c r="H50" s="30"/>
      <c r="I50" s="30"/>
      <c r="J50" s="30"/>
      <c r="K50" s="30"/>
      <c r="L50" s="30"/>
      <c r="M50" s="30"/>
      <c r="N50" s="30"/>
      <c r="O50" s="30"/>
      <c r="P50" s="30"/>
      <c r="Q50" s="30"/>
      <c r="R50" s="30"/>
      <c r="S50" s="30"/>
      <c r="T50" s="30"/>
      <c r="U50" s="30"/>
      <c r="V50" s="30"/>
      <c r="W50" s="30"/>
      <c r="X50" s="30"/>
      <c r="Y50" s="30"/>
      <c r="Z50" s="30"/>
      <c r="AA50" s="30"/>
      <c r="AB50" s="30"/>
      <c r="AC50" s="30"/>
      <c r="AD50" s="30"/>
      <c r="AE50" s="30"/>
      <c r="AF50" s="30"/>
      <c r="AG50" s="30"/>
      <c r="AH50" s="30"/>
      <c r="AI50" s="30"/>
      <c r="AJ50" s="30"/>
      <c r="AK50" s="30"/>
      <c r="AL50" s="30"/>
      <c r="AM50" s="30"/>
      <c r="AN50" s="30"/>
      <c r="AO50" s="30"/>
      <c r="AP50" s="30"/>
      <c r="AQ50" s="30"/>
      <c r="AR50" s="30"/>
      <c r="AS50" s="30"/>
      <c r="AT50" s="30"/>
      <c r="AU50" s="30"/>
      <c r="AV50" s="30"/>
      <c r="AW50" s="30"/>
      <c r="AX50" s="30"/>
      <c r="AY50" s="30"/>
      <c r="AZ50" s="30"/>
      <c r="BA50" s="30"/>
      <c r="BB50" s="30"/>
      <c r="BC50" s="30"/>
      <c r="BD50" s="30"/>
      <c r="BE50" s="30"/>
      <c r="BF50" s="31"/>
    </row>
    <row r="51" spans="1:58">
      <c r="A51" s="29"/>
      <c r="B51" s="30"/>
      <c r="C51" s="30"/>
      <c r="D51" s="30"/>
      <c r="E51" s="30"/>
      <c r="F51" s="30"/>
      <c r="G51" s="30"/>
      <c r="H51" s="30"/>
      <c r="I51" s="30"/>
      <c r="J51" s="30"/>
      <c r="K51" s="30"/>
      <c r="L51" s="30"/>
      <c r="M51" s="30"/>
      <c r="N51" s="30"/>
      <c r="O51" s="30"/>
      <c r="P51" s="30"/>
      <c r="Q51" s="30"/>
      <c r="R51" s="30"/>
      <c r="S51" s="30"/>
      <c r="T51" s="30"/>
      <c r="U51" s="30"/>
      <c r="V51" s="30"/>
      <c r="W51" s="30"/>
      <c r="X51" s="30"/>
      <c r="Y51" s="30"/>
      <c r="Z51" s="30"/>
      <c r="AA51" s="30"/>
      <c r="AB51" s="30"/>
      <c r="AC51" s="30"/>
      <c r="AD51" s="30"/>
      <c r="AE51" s="30"/>
      <c r="AF51" s="30"/>
      <c r="AG51" s="30"/>
      <c r="AH51" s="30"/>
      <c r="AI51" s="30"/>
      <c r="AJ51" s="30"/>
      <c r="AK51" s="30"/>
      <c r="AL51" s="30"/>
      <c r="AM51" s="30"/>
      <c r="AN51" s="30"/>
      <c r="AO51" s="30"/>
      <c r="AP51" s="30"/>
      <c r="AQ51" s="30"/>
      <c r="AR51" s="30"/>
      <c r="AS51" s="30"/>
      <c r="AT51" s="30"/>
      <c r="AU51" s="30"/>
      <c r="AV51" s="30"/>
      <c r="AW51" s="30"/>
      <c r="AX51" s="30"/>
      <c r="AY51" s="30"/>
      <c r="AZ51" s="30"/>
      <c r="BA51" s="30"/>
      <c r="BB51" s="30"/>
      <c r="BC51" s="30"/>
      <c r="BD51" s="30"/>
      <c r="BE51" s="30"/>
      <c r="BF51" s="31"/>
    </row>
    <row r="52" spans="1:58">
      <c r="A52" s="36"/>
      <c r="B52" s="37"/>
      <c r="C52" s="37"/>
      <c r="D52" s="37"/>
      <c r="E52" s="37"/>
      <c r="F52" s="37"/>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8"/>
    </row>
    <row r="53" spans="1:58">
      <c r="J53" s="27"/>
    </row>
  </sheetData>
  <mergeCells count="16">
    <mergeCell ref="A1:F1"/>
    <mergeCell ref="A2:F2"/>
    <mergeCell ref="AO1:AR1"/>
    <mergeCell ref="AX1:BA1"/>
    <mergeCell ref="BB1:BF1"/>
    <mergeCell ref="AS1:AW1"/>
    <mergeCell ref="G1:X1"/>
    <mergeCell ref="Y1:AD1"/>
    <mergeCell ref="AE1:AN1"/>
    <mergeCell ref="AO2:AR2"/>
    <mergeCell ref="AX2:BA2"/>
    <mergeCell ref="BB2:BF2"/>
    <mergeCell ref="AS2:AW2"/>
    <mergeCell ref="G2:X2"/>
    <mergeCell ref="Y2:AD2"/>
    <mergeCell ref="AE2:AN2"/>
  </mergeCells>
  <phoneticPr fontId="1"/>
  <pageMargins left="0.59055118110236227" right="0.39370078740157483" top="0.59055118110236227" bottom="0.59055118110236227" header="0.39370078740157483" footer="0.39370078740157483"/>
  <pageSetup paperSize="9" orientation="landscape" horizontalDpi="0" verticalDpi="0"/>
  <headerFooter alignWithMargins="0">
    <oddFooter>&amp;C&amp;8- &amp;P-1 -&amp;R&amp;"明朝,標準"&amp;8Copyright © 2007 sample Corporation. All Rights Reserved.</oddFoot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F52"/>
  <sheetViews>
    <sheetView workbookViewId="0">
      <selection activeCell="L41" sqref="L41:U41"/>
    </sheetView>
  </sheetViews>
  <sheetFormatPr baseColWidth="10" defaultColWidth="2.6640625" defaultRowHeight="14"/>
  <cols>
    <col min="1" max="16384" width="2.6640625" style="1"/>
  </cols>
  <sheetData>
    <row r="1" spans="1:58">
      <c r="A1" s="60" t="s">
        <v>27</v>
      </c>
      <c r="B1" s="60"/>
      <c r="C1" s="60"/>
      <c r="D1" s="60"/>
      <c r="E1" s="60"/>
      <c r="F1" s="60"/>
      <c r="G1" s="67" t="str">
        <f ca="1">IF(ISBLANK(改訂履歴!G1),"",(改訂履歴!G1))</f>
        <v>DOC00001_詳細設計書_MIPG00001_テトリス_VBA</v>
      </c>
      <c r="H1" s="67"/>
      <c r="I1" s="67"/>
      <c r="J1" s="67"/>
      <c r="K1" s="67"/>
      <c r="L1" s="67"/>
      <c r="M1" s="67"/>
      <c r="N1" s="67"/>
      <c r="O1" s="67"/>
      <c r="P1" s="67"/>
      <c r="Q1" s="67"/>
      <c r="R1" s="67"/>
      <c r="S1" s="67"/>
      <c r="T1" s="67"/>
      <c r="U1" s="67"/>
      <c r="V1" s="67"/>
      <c r="W1" s="67"/>
      <c r="X1" s="67"/>
      <c r="Y1" s="60" t="s">
        <v>28</v>
      </c>
      <c r="Z1" s="60"/>
      <c r="AA1" s="60"/>
      <c r="AB1" s="60"/>
      <c r="AC1" s="60"/>
      <c r="AD1" s="60"/>
      <c r="AE1" s="67" t="str">
        <f ca="1">IF(ISBLANK(改訂履歴!$AE$1),"",(改訂履歴!$AE$1))</f>
        <v>DOC00001</v>
      </c>
      <c r="AF1" s="67"/>
      <c r="AG1" s="67"/>
      <c r="AH1" s="67"/>
      <c r="AI1" s="67"/>
      <c r="AJ1" s="67"/>
      <c r="AK1" s="67"/>
      <c r="AL1" s="67"/>
      <c r="AM1" s="67"/>
      <c r="AN1" s="67"/>
      <c r="AO1" s="60" t="s">
        <v>30</v>
      </c>
      <c r="AP1" s="60"/>
      <c r="AQ1" s="60"/>
      <c r="AR1" s="60"/>
      <c r="AS1" s="61" t="str">
        <f>IF(ISBLANK(改訂履歴!AS1),"",(改訂履歴!AS1))</f>
        <v>第1版</v>
      </c>
      <c r="AT1" s="62"/>
      <c r="AU1" s="62"/>
      <c r="AV1" s="62"/>
      <c r="AW1" s="63"/>
      <c r="AX1" s="60" t="s">
        <v>32</v>
      </c>
      <c r="AY1" s="60"/>
      <c r="AZ1" s="60"/>
      <c r="BA1" s="60"/>
      <c r="BB1" s="71" t="str">
        <f ca="1">IF(ISBLANK(改訂履歴!BB1),"",(改訂履歴!BB1))</f>
        <v>水谷</v>
      </c>
      <c r="BC1" s="72"/>
      <c r="BD1" s="72"/>
      <c r="BE1" s="72"/>
      <c r="BF1" s="73"/>
    </row>
    <row r="2" spans="1:58">
      <c r="A2" s="60" t="s">
        <v>0</v>
      </c>
      <c r="B2" s="60"/>
      <c r="C2" s="60"/>
      <c r="D2" s="60"/>
      <c r="E2" s="60"/>
      <c r="F2" s="60"/>
      <c r="G2" s="67" t="str">
        <f ca="1">IF(ISBLANK(改訂履歴!G2),"",(改訂履歴!G2))</f>
        <v>テトリス_VBA</v>
      </c>
      <c r="H2" s="67"/>
      <c r="I2" s="67"/>
      <c r="J2" s="67"/>
      <c r="K2" s="67"/>
      <c r="L2" s="67"/>
      <c r="M2" s="67"/>
      <c r="N2" s="67"/>
      <c r="O2" s="67"/>
      <c r="P2" s="67"/>
      <c r="Q2" s="67"/>
      <c r="R2" s="67"/>
      <c r="S2" s="67"/>
      <c r="T2" s="67"/>
      <c r="U2" s="67"/>
      <c r="V2" s="67"/>
      <c r="W2" s="67"/>
      <c r="X2" s="67"/>
      <c r="Y2" s="60" t="s">
        <v>4</v>
      </c>
      <c r="Z2" s="60"/>
      <c r="AA2" s="60"/>
      <c r="AB2" s="60"/>
      <c r="AC2" s="60"/>
      <c r="AD2" s="60"/>
      <c r="AE2" s="67" t="str">
        <f ca="1">IF(ISBLANK(改訂履歴!$AE$2),"",(改訂履歴!$AE$2))</f>
        <v>MIPG00001</v>
      </c>
      <c r="AF2" s="67"/>
      <c r="AG2" s="67"/>
      <c r="AH2" s="67"/>
      <c r="AI2" s="67"/>
      <c r="AJ2" s="67"/>
      <c r="AK2" s="67"/>
      <c r="AL2" s="67"/>
      <c r="AM2" s="67"/>
      <c r="AN2" s="67"/>
      <c r="AO2" s="60" t="s">
        <v>31</v>
      </c>
      <c r="AP2" s="60"/>
      <c r="AQ2" s="60"/>
      <c r="AR2" s="60"/>
      <c r="AS2" s="64">
        <f>IF(ISBLANK(改訂履歴!AS2),"",(改訂履歴!AS2))</f>
        <v>44871</v>
      </c>
      <c r="AT2" s="65"/>
      <c r="AU2" s="65"/>
      <c r="AV2" s="65"/>
      <c r="AW2" s="66"/>
      <c r="AX2" s="60" t="s">
        <v>33</v>
      </c>
      <c r="AY2" s="60"/>
      <c r="AZ2" s="60"/>
      <c r="BA2" s="60"/>
      <c r="BB2" s="64">
        <f ca="1">IF(ISBLANK(改訂履歴!BB2),"",(改訂履歴!BB2))</f>
        <v>44871</v>
      </c>
      <c r="BC2" s="65"/>
      <c r="BD2" s="65"/>
      <c r="BE2" s="65"/>
      <c r="BF2" s="66"/>
    </row>
    <row r="3" spans="1:58">
      <c r="B3" s="2"/>
    </row>
    <row r="4" spans="1:58">
      <c r="A4" s="3" t="s">
        <v>8</v>
      </c>
      <c r="B4" s="4"/>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4"/>
      <c r="AX4" s="5"/>
    </row>
    <row r="5" spans="1:58">
      <c r="A5" s="26"/>
      <c r="B5" s="27"/>
      <c r="C5" s="27"/>
      <c r="D5" s="27"/>
      <c r="E5" s="27"/>
      <c r="F5" s="27"/>
      <c r="G5" s="27"/>
      <c r="H5" s="27"/>
      <c r="I5" s="27"/>
      <c r="J5" s="27"/>
      <c r="K5" s="27"/>
      <c r="L5" s="27"/>
      <c r="M5" s="27"/>
      <c r="N5" s="27"/>
      <c r="O5" s="27"/>
      <c r="P5" s="27"/>
      <c r="Q5" s="27"/>
      <c r="R5" s="27"/>
      <c r="S5" s="27"/>
      <c r="T5" s="27"/>
      <c r="U5" s="27"/>
      <c r="V5" s="27"/>
      <c r="W5" s="27"/>
      <c r="X5" s="27"/>
      <c r="Y5" s="27"/>
      <c r="Z5" s="27"/>
      <c r="AA5" s="27"/>
      <c r="AB5" s="27"/>
      <c r="AC5" s="27"/>
      <c r="AD5" s="27"/>
      <c r="AE5" s="27"/>
      <c r="AF5" s="27"/>
      <c r="AG5" s="27"/>
      <c r="AH5" s="27"/>
      <c r="AI5" s="27"/>
      <c r="AJ5" s="27"/>
      <c r="AK5" s="27"/>
      <c r="AL5" s="27"/>
      <c r="AM5" s="27"/>
      <c r="AN5" s="27"/>
      <c r="AO5" s="27"/>
      <c r="AP5" s="27"/>
      <c r="AQ5" s="27"/>
      <c r="AR5" s="27"/>
      <c r="AS5" s="27"/>
      <c r="AT5" s="27"/>
      <c r="AU5" s="27"/>
      <c r="AV5" s="27"/>
      <c r="AW5" s="27"/>
      <c r="AX5" s="28"/>
    </row>
    <row r="6" spans="1:58">
      <c r="A6" s="29"/>
      <c r="B6" s="30"/>
      <c r="C6" s="30"/>
      <c r="D6" s="30"/>
      <c r="E6" s="30"/>
      <c r="F6" s="30"/>
      <c r="G6" s="30"/>
      <c r="H6" s="30"/>
      <c r="I6" s="30"/>
      <c r="J6" s="30"/>
      <c r="K6" s="30"/>
      <c r="L6" s="30"/>
      <c r="M6" s="30"/>
      <c r="N6" s="30"/>
      <c r="O6" s="30"/>
      <c r="P6" s="30"/>
      <c r="Q6" s="30"/>
      <c r="R6" s="30"/>
      <c r="S6" s="30"/>
      <c r="T6" s="30"/>
      <c r="U6" s="30"/>
      <c r="V6" s="30"/>
      <c r="W6" s="30"/>
      <c r="X6" s="30"/>
      <c r="Y6" s="30"/>
      <c r="Z6" s="30"/>
      <c r="AA6" s="30"/>
      <c r="AB6" s="30"/>
      <c r="AC6" s="30"/>
      <c r="AD6" s="30"/>
      <c r="AE6" s="30"/>
      <c r="AF6" s="30"/>
      <c r="AG6" s="30"/>
      <c r="AH6" s="30"/>
      <c r="AI6" s="30"/>
      <c r="AJ6" s="30"/>
      <c r="AK6" s="30"/>
      <c r="AL6" s="30"/>
      <c r="AM6" s="30"/>
      <c r="AN6" s="30"/>
      <c r="AO6" s="30"/>
      <c r="AP6" s="30"/>
      <c r="AQ6" s="30"/>
      <c r="AR6" s="30"/>
      <c r="AS6" s="30"/>
      <c r="AT6" s="30"/>
      <c r="AU6" s="30"/>
      <c r="AV6" s="30"/>
      <c r="AW6" s="30"/>
      <c r="AX6" s="31"/>
    </row>
    <row r="7" spans="1:58">
      <c r="A7" s="29"/>
      <c r="B7" s="30"/>
      <c r="C7" s="30"/>
      <c r="D7" s="30"/>
      <c r="E7" s="30"/>
      <c r="F7" s="30"/>
      <c r="G7" s="30"/>
      <c r="H7" s="30"/>
      <c r="I7" s="30"/>
      <c r="J7" s="30"/>
      <c r="K7" s="30"/>
      <c r="L7" s="30"/>
      <c r="M7" s="30"/>
      <c r="N7" s="30"/>
      <c r="O7" s="30"/>
      <c r="P7" s="30"/>
      <c r="Q7" s="30"/>
      <c r="R7" s="30"/>
      <c r="S7" s="30"/>
      <c r="T7" s="30"/>
      <c r="U7" s="30"/>
      <c r="V7" s="30"/>
      <c r="W7" s="30"/>
      <c r="X7" s="30"/>
      <c r="Y7" s="30"/>
      <c r="Z7" s="30"/>
      <c r="AA7" s="30"/>
      <c r="AB7" s="30"/>
      <c r="AC7" s="30"/>
      <c r="AD7" s="30"/>
      <c r="AE7" s="30"/>
      <c r="AF7" s="30"/>
      <c r="AG7" s="30"/>
      <c r="AH7" s="30"/>
      <c r="AI7" s="30"/>
      <c r="AJ7" s="30"/>
      <c r="AK7" s="30"/>
      <c r="AL7" s="30"/>
      <c r="AM7" s="30"/>
      <c r="AN7" s="30"/>
      <c r="AO7" s="30"/>
      <c r="AP7" s="30"/>
      <c r="AQ7" s="30"/>
      <c r="AR7" s="30"/>
      <c r="AS7" s="30"/>
      <c r="AT7" s="30"/>
      <c r="AU7" s="30"/>
      <c r="AV7" s="30"/>
      <c r="AW7" s="30"/>
      <c r="AX7" s="31"/>
    </row>
    <row r="8" spans="1:58">
      <c r="A8" s="29"/>
      <c r="B8" s="30"/>
      <c r="C8" s="30"/>
      <c r="D8" s="30"/>
      <c r="E8" s="30"/>
      <c r="F8" s="30"/>
      <c r="G8" s="30"/>
      <c r="H8" s="30"/>
      <c r="I8" s="30"/>
      <c r="J8" s="30"/>
      <c r="K8" s="30"/>
      <c r="L8" s="30"/>
      <c r="M8" s="30"/>
      <c r="N8" s="30"/>
      <c r="O8" s="30"/>
      <c r="P8" s="30"/>
      <c r="Q8" s="30"/>
      <c r="R8" s="30"/>
      <c r="S8" s="30"/>
      <c r="T8" s="30"/>
      <c r="U8" s="30"/>
      <c r="V8" s="30"/>
      <c r="W8" s="30"/>
      <c r="X8" s="30"/>
      <c r="Y8" s="30"/>
      <c r="Z8" s="30"/>
      <c r="AA8" s="30"/>
      <c r="AB8" s="30"/>
      <c r="AC8" s="30"/>
      <c r="AD8" s="30"/>
      <c r="AE8" s="30"/>
      <c r="AF8" s="30"/>
      <c r="AG8" s="30"/>
      <c r="AH8" s="30"/>
      <c r="AI8" s="30"/>
      <c r="AJ8" s="30"/>
      <c r="AK8" s="30"/>
      <c r="AL8" s="30"/>
      <c r="AM8" s="30"/>
      <c r="AN8" s="30"/>
      <c r="AO8" s="30"/>
      <c r="AP8" s="30"/>
      <c r="AQ8" s="30"/>
      <c r="AR8" s="30"/>
      <c r="AS8" s="30"/>
      <c r="AT8" s="30"/>
      <c r="AU8" s="30"/>
      <c r="AV8" s="30"/>
      <c r="AW8" s="30"/>
      <c r="AX8" s="31"/>
    </row>
    <row r="9" spans="1:58">
      <c r="A9" s="29"/>
      <c r="B9" s="30"/>
      <c r="C9" s="30"/>
      <c r="D9" s="30"/>
      <c r="E9" s="30"/>
      <c r="F9" s="30"/>
      <c r="G9" s="30"/>
      <c r="H9" s="30"/>
      <c r="I9" s="30"/>
      <c r="J9" s="30"/>
      <c r="K9" s="30"/>
      <c r="L9" s="30"/>
      <c r="M9" s="30"/>
      <c r="N9" s="30"/>
      <c r="O9" s="30"/>
      <c r="P9" s="30"/>
      <c r="Q9" s="30"/>
      <c r="R9" s="30"/>
      <c r="S9" s="30"/>
      <c r="T9" s="30"/>
      <c r="U9" s="30"/>
      <c r="V9" s="30"/>
      <c r="W9" s="30"/>
      <c r="X9" s="30"/>
      <c r="Y9" s="30"/>
      <c r="Z9" s="30"/>
      <c r="AA9" s="30"/>
      <c r="AB9" s="30"/>
      <c r="AC9" s="30"/>
      <c r="AD9" s="30"/>
      <c r="AE9" s="30"/>
      <c r="AF9" s="30"/>
      <c r="AG9" s="30"/>
      <c r="AH9" s="30"/>
      <c r="AI9" s="30"/>
      <c r="AJ9" s="30"/>
      <c r="AK9" s="30"/>
      <c r="AL9" s="30"/>
      <c r="AM9" s="30"/>
      <c r="AN9" s="30"/>
      <c r="AO9" s="30"/>
      <c r="AP9" s="30"/>
      <c r="AQ9" s="30"/>
      <c r="AR9" s="30"/>
      <c r="AS9" s="30"/>
      <c r="AT9" s="30"/>
      <c r="AU9" s="30"/>
      <c r="AV9" s="30"/>
      <c r="AW9" s="30"/>
      <c r="AX9" s="31"/>
    </row>
    <row r="10" spans="1:58">
      <c r="A10" s="29"/>
      <c r="B10" s="30"/>
      <c r="C10" s="30"/>
      <c r="D10" s="30"/>
      <c r="E10" s="30"/>
      <c r="F10" s="30"/>
      <c r="G10" s="30"/>
      <c r="H10" s="30"/>
      <c r="I10" s="30"/>
      <c r="J10" s="30"/>
      <c r="K10" s="30"/>
      <c r="L10" s="30"/>
      <c r="M10" s="30"/>
      <c r="N10" s="30"/>
      <c r="O10" s="30"/>
      <c r="P10" s="30"/>
      <c r="Q10" s="30"/>
      <c r="R10" s="30"/>
      <c r="S10" s="30"/>
      <c r="T10" s="30"/>
      <c r="U10" s="30"/>
      <c r="V10" s="30"/>
      <c r="W10" s="30"/>
      <c r="X10" s="30"/>
      <c r="Y10" s="30"/>
      <c r="Z10" s="30"/>
      <c r="AA10" s="30"/>
      <c r="AB10" s="30"/>
      <c r="AC10" s="30"/>
      <c r="AD10" s="30"/>
      <c r="AE10" s="30"/>
      <c r="AF10" s="30"/>
      <c r="AG10" s="30"/>
      <c r="AH10" s="30"/>
      <c r="AI10" s="30"/>
      <c r="AJ10" s="30"/>
      <c r="AK10" s="30"/>
      <c r="AL10" s="30"/>
      <c r="AM10" s="30"/>
      <c r="AN10" s="30"/>
      <c r="AO10" s="30"/>
      <c r="AP10" s="30"/>
      <c r="AQ10" s="30"/>
      <c r="AR10" s="30"/>
      <c r="AS10" s="30"/>
      <c r="AT10" s="30"/>
      <c r="AU10" s="30"/>
      <c r="AV10" s="30"/>
      <c r="AW10" s="30"/>
      <c r="AX10" s="31"/>
    </row>
    <row r="11" spans="1:58">
      <c r="A11" s="29"/>
      <c r="B11" s="30"/>
      <c r="C11" s="30"/>
      <c r="D11" s="30"/>
      <c r="E11" s="30"/>
      <c r="F11" s="30"/>
      <c r="G11" s="30"/>
      <c r="H11" s="30"/>
      <c r="I11" s="30"/>
      <c r="J11" s="30"/>
      <c r="K11" s="30"/>
      <c r="L11" s="30"/>
      <c r="M11" s="30"/>
      <c r="N11" s="30"/>
      <c r="O11" s="30"/>
      <c r="P11" s="30"/>
      <c r="Q11" s="30"/>
      <c r="R11" s="30"/>
      <c r="S11" s="30"/>
      <c r="T11" s="30"/>
      <c r="U11" s="30"/>
      <c r="V11" s="30"/>
      <c r="W11" s="30"/>
      <c r="X11" s="30"/>
      <c r="Y11" s="30"/>
      <c r="Z11" s="30"/>
      <c r="AA11" s="30"/>
      <c r="AB11" s="30"/>
      <c r="AC11" s="30"/>
      <c r="AD11" s="30"/>
      <c r="AE11" s="30"/>
      <c r="AF11" s="30"/>
      <c r="AG11" s="30"/>
      <c r="AH11" s="30"/>
      <c r="AI11" s="30"/>
      <c r="AJ11" s="30"/>
      <c r="AK11" s="30"/>
      <c r="AL11" s="30"/>
      <c r="AM11" s="30"/>
      <c r="AN11" s="30"/>
      <c r="AO11" s="30"/>
      <c r="AP11" s="30"/>
      <c r="AQ11" s="30"/>
      <c r="AR11" s="30"/>
      <c r="AS11" s="30"/>
      <c r="AT11" s="30"/>
      <c r="AU11" s="30"/>
      <c r="AV11" s="30"/>
      <c r="AW11" s="30"/>
      <c r="AX11" s="31"/>
    </row>
    <row r="12" spans="1:58">
      <c r="A12" s="29"/>
      <c r="B12" s="30"/>
      <c r="C12" s="30"/>
      <c r="D12" s="30"/>
      <c r="E12" s="30"/>
      <c r="F12" s="30"/>
      <c r="G12" s="30"/>
      <c r="H12" s="30"/>
      <c r="I12" s="30"/>
      <c r="J12" s="30"/>
      <c r="K12" s="30"/>
      <c r="L12" s="30"/>
      <c r="M12" s="30"/>
      <c r="N12" s="30"/>
      <c r="O12" s="30"/>
      <c r="P12" s="30"/>
      <c r="Q12" s="30"/>
      <c r="R12" s="30"/>
      <c r="S12" s="30"/>
      <c r="T12" s="30"/>
      <c r="U12" s="30"/>
      <c r="V12" s="30"/>
      <c r="W12" s="30"/>
      <c r="X12" s="30"/>
      <c r="Y12" s="30"/>
      <c r="Z12" s="30"/>
      <c r="AA12" s="30"/>
      <c r="AB12" s="30"/>
      <c r="AC12" s="30"/>
      <c r="AD12" s="30"/>
      <c r="AE12" s="30"/>
      <c r="AF12" s="30"/>
      <c r="AG12" s="30"/>
      <c r="AH12" s="30"/>
      <c r="AI12" s="30"/>
      <c r="AJ12" s="30"/>
      <c r="AK12" s="30"/>
      <c r="AL12" s="30"/>
      <c r="AM12" s="30"/>
      <c r="AN12" s="30"/>
      <c r="AO12" s="30"/>
      <c r="AP12" s="30"/>
      <c r="AQ12" s="30"/>
      <c r="AR12" s="30"/>
      <c r="AS12" s="30"/>
      <c r="AT12" s="30"/>
      <c r="AU12" s="30"/>
      <c r="AV12" s="30"/>
      <c r="AW12" s="30"/>
      <c r="AX12" s="31"/>
    </row>
    <row r="13" spans="1:58">
      <c r="A13" s="29"/>
      <c r="B13" s="30"/>
      <c r="C13" s="30"/>
      <c r="D13" s="30"/>
      <c r="E13" s="30"/>
      <c r="F13" s="30"/>
      <c r="G13" s="30"/>
      <c r="H13" s="30"/>
      <c r="I13" s="30"/>
      <c r="J13" s="30"/>
      <c r="K13" s="30"/>
      <c r="L13" s="30"/>
      <c r="M13" s="30"/>
      <c r="N13" s="30"/>
      <c r="O13" s="30"/>
      <c r="P13" s="30"/>
      <c r="Q13" s="30"/>
      <c r="R13" s="30"/>
      <c r="S13" s="30"/>
      <c r="T13" s="30"/>
      <c r="U13" s="30"/>
      <c r="V13" s="30"/>
      <c r="W13" s="30"/>
      <c r="X13" s="30"/>
      <c r="Y13" s="30"/>
      <c r="Z13" s="30"/>
      <c r="AA13" s="30"/>
      <c r="AB13" s="30"/>
      <c r="AC13" s="30"/>
      <c r="AD13" s="30"/>
      <c r="AE13" s="30"/>
      <c r="AF13" s="30"/>
      <c r="AG13" s="30"/>
      <c r="AH13" s="30"/>
      <c r="AI13" s="30"/>
      <c r="AJ13" s="30"/>
      <c r="AK13" s="30"/>
      <c r="AL13" s="30"/>
      <c r="AM13" s="30"/>
      <c r="AN13" s="30"/>
      <c r="AO13" s="30"/>
      <c r="AP13" s="30"/>
      <c r="AQ13" s="30"/>
      <c r="AR13" s="30"/>
      <c r="AS13" s="30"/>
      <c r="AT13" s="30"/>
      <c r="AU13" s="30"/>
      <c r="AV13" s="30"/>
      <c r="AW13" s="30"/>
      <c r="AX13" s="31"/>
    </row>
    <row r="14" spans="1:58">
      <c r="A14" s="29"/>
      <c r="B14" s="30"/>
      <c r="C14" s="30"/>
      <c r="D14" s="30"/>
      <c r="E14" s="30"/>
      <c r="F14" s="30"/>
      <c r="G14" s="30"/>
      <c r="H14" s="30"/>
      <c r="I14" s="30"/>
      <c r="J14" s="30"/>
      <c r="K14" s="30"/>
      <c r="L14" s="30"/>
      <c r="M14" s="30"/>
      <c r="N14" s="30"/>
      <c r="O14" s="30"/>
      <c r="P14" s="30"/>
      <c r="Q14" s="30"/>
      <c r="R14" s="30"/>
      <c r="S14" s="30"/>
      <c r="T14" s="30"/>
      <c r="U14" s="30"/>
      <c r="V14" s="30"/>
      <c r="W14" s="30"/>
      <c r="X14" s="30"/>
      <c r="Y14" s="30"/>
      <c r="Z14" s="30"/>
      <c r="AA14" s="30"/>
      <c r="AB14" s="30"/>
      <c r="AC14" s="30"/>
      <c r="AD14" s="30"/>
      <c r="AE14" s="30"/>
      <c r="AF14" s="30"/>
      <c r="AG14" s="30"/>
      <c r="AH14" s="30"/>
      <c r="AI14" s="30"/>
      <c r="AJ14" s="30"/>
      <c r="AK14" s="30"/>
      <c r="AL14" s="30"/>
      <c r="AM14" s="30"/>
      <c r="AN14" s="30"/>
      <c r="AO14" s="30"/>
      <c r="AP14" s="30"/>
      <c r="AQ14" s="30"/>
      <c r="AR14" s="30"/>
      <c r="AS14" s="30"/>
      <c r="AT14" s="30"/>
      <c r="AU14" s="30"/>
      <c r="AV14" s="30"/>
      <c r="AW14" s="30"/>
      <c r="AX14" s="31"/>
    </row>
    <row r="15" spans="1:58">
      <c r="A15" s="29"/>
      <c r="B15" s="30"/>
      <c r="C15" s="30"/>
      <c r="D15" s="30"/>
      <c r="E15" s="30"/>
      <c r="F15" s="30"/>
      <c r="G15" s="30"/>
      <c r="H15" s="30"/>
      <c r="I15" s="30"/>
      <c r="J15" s="30"/>
      <c r="K15" s="30"/>
      <c r="L15" s="30"/>
      <c r="M15" s="30"/>
      <c r="N15" s="30"/>
      <c r="O15" s="30"/>
      <c r="P15" s="30"/>
      <c r="Q15" s="30"/>
      <c r="R15" s="30"/>
      <c r="S15" s="30"/>
      <c r="T15" s="30"/>
      <c r="U15" s="30"/>
      <c r="V15" s="30"/>
      <c r="W15" s="30"/>
      <c r="X15" s="30"/>
      <c r="Y15" s="30"/>
      <c r="Z15" s="30"/>
      <c r="AA15" s="30"/>
      <c r="AB15" s="30"/>
      <c r="AC15" s="30"/>
      <c r="AD15" s="30"/>
      <c r="AE15" s="30"/>
      <c r="AF15" s="30"/>
      <c r="AG15" s="30"/>
      <c r="AH15" s="30"/>
      <c r="AI15" s="30"/>
      <c r="AJ15" s="30"/>
      <c r="AK15" s="30"/>
      <c r="AL15" s="30"/>
      <c r="AM15" s="30"/>
      <c r="AN15" s="30"/>
      <c r="AO15" s="30"/>
      <c r="AP15" s="30"/>
      <c r="AQ15" s="30"/>
      <c r="AR15" s="30"/>
      <c r="AS15" s="30"/>
      <c r="AT15" s="30"/>
      <c r="AU15" s="30"/>
      <c r="AV15" s="30"/>
      <c r="AW15" s="30"/>
      <c r="AX15" s="31"/>
    </row>
    <row r="16" spans="1:58">
      <c r="A16" s="29"/>
      <c r="B16" s="30"/>
      <c r="C16" s="30"/>
      <c r="D16" s="30"/>
      <c r="E16" s="30"/>
      <c r="F16" s="30"/>
      <c r="G16" s="30"/>
      <c r="H16" s="30"/>
      <c r="I16" s="30"/>
      <c r="J16" s="30"/>
      <c r="K16" s="30"/>
      <c r="L16" s="30"/>
      <c r="M16" s="30"/>
      <c r="N16" s="30"/>
      <c r="O16" s="30"/>
      <c r="P16" s="30"/>
      <c r="Q16" s="30"/>
      <c r="R16" s="30"/>
      <c r="S16" s="30"/>
      <c r="T16" s="30"/>
      <c r="U16" s="30"/>
      <c r="V16" s="30"/>
      <c r="W16" s="30"/>
      <c r="X16" s="30"/>
      <c r="Y16" s="30"/>
      <c r="Z16" s="30"/>
      <c r="AA16" s="30"/>
      <c r="AB16" s="30"/>
      <c r="AC16" s="30"/>
      <c r="AD16" s="30"/>
      <c r="AE16" s="30"/>
      <c r="AF16" s="30"/>
      <c r="AG16" s="30"/>
      <c r="AH16" s="30"/>
      <c r="AI16" s="30"/>
      <c r="AJ16" s="30"/>
      <c r="AK16" s="30"/>
      <c r="AL16" s="30"/>
      <c r="AM16" s="30"/>
      <c r="AN16" s="30"/>
      <c r="AO16" s="30"/>
      <c r="AP16" s="30"/>
      <c r="AQ16" s="30"/>
      <c r="AR16" s="30"/>
      <c r="AS16" s="30"/>
      <c r="AT16" s="30"/>
      <c r="AU16" s="30"/>
      <c r="AV16" s="30"/>
      <c r="AW16" s="30"/>
      <c r="AX16" s="31"/>
    </row>
    <row r="17" spans="1:50">
      <c r="A17" s="29"/>
      <c r="B17" s="30"/>
      <c r="C17" s="30"/>
      <c r="D17" s="30"/>
      <c r="E17" s="30"/>
      <c r="F17" s="30"/>
      <c r="G17" s="30"/>
      <c r="H17" s="30"/>
      <c r="I17" s="30"/>
      <c r="J17" s="30"/>
      <c r="K17" s="30"/>
      <c r="L17" s="30"/>
      <c r="M17" s="30"/>
      <c r="N17" s="30"/>
      <c r="O17" s="30"/>
      <c r="P17" s="30"/>
      <c r="Q17" s="30"/>
      <c r="R17" s="30"/>
      <c r="S17" s="30"/>
      <c r="T17" s="30"/>
      <c r="U17" s="30"/>
      <c r="V17" s="30"/>
      <c r="W17" s="30"/>
      <c r="X17" s="30"/>
      <c r="Y17" s="30"/>
      <c r="Z17" s="30"/>
      <c r="AA17" s="30"/>
      <c r="AB17" s="30"/>
      <c r="AC17" s="30"/>
      <c r="AD17" s="30"/>
      <c r="AE17" s="30"/>
      <c r="AF17" s="30"/>
      <c r="AG17" s="30"/>
      <c r="AH17" s="30"/>
      <c r="AI17" s="30"/>
      <c r="AJ17" s="30"/>
      <c r="AK17" s="30"/>
      <c r="AL17" s="30"/>
      <c r="AM17" s="30"/>
      <c r="AN17" s="30"/>
      <c r="AO17" s="30"/>
      <c r="AP17" s="30"/>
      <c r="AQ17" s="30"/>
      <c r="AR17" s="30"/>
      <c r="AS17" s="30"/>
      <c r="AT17" s="30"/>
      <c r="AU17" s="30"/>
      <c r="AV17" s="30"/>
      <c r="AW17" s="30"/>
      <c r="AX17" s="31"/>
    </row>
    <row r="18" spans="1:50">
      <c r="A18" s="29"/>
      <c r="B18" s="30"/>
      <c r="C18" s="30"/>
      <c r="D18" s="30"/>
      <c r="E18" s="30"/>
      <c r="F18" s="30"/>
      <c r="G18" s="30"/>
      <c r="H18" s="30"/>
      <c r="I18" s="30"/>
      <c r="J18" s="30"/>
      <c r="K18" s="30"/>
      <c r="L18" s="30"/>
      <c r="M18" s="30"/>
      <c r="N18" s="30"/>
      <c r="O18" s="30"/>
      <c r="P18" s="30"/>
      <c r="Q18" s="30"/>
      <c r="R18" s="30"/>
      <c r="S18" s="30"/>
      <c r="T18" s="30"/>
      <c r="U18" s="30"/>
      <c r="V18" s="30"/>
      <c r="W18" s="30"/>
      <c r="X18" s="30"/>
      <c r="Y18" s="30"/>
      <c r="Z18" s="30"/>
      <c r="AA18" s="30"/>
      <c r="AB18" s="30"/>
      <c r="AC18" s="30"/>
      <c r="AD18" s="30"/>
      <c r="AE18" s="30"/>
      <c r="AF18" s="30"/>
      <c r="AG18" s="30"/>
      <c r="AH18" s="30"/>
      <c r="AI18" s="30"/>
      <c r="AJ18" s="30"/>
      <c r="AK18" s="30"/>
      <c r="AL18" s="30"/>
      <c r="AM18" s="30"/>
      <c r="AN18" s="30"/>
      <c r="AO18" s="30"/>
      <c r="AP18" s="30"/>
      <c r="AQ18" s="30"/>
      <c r="AR18" s="30"/>
      <c r="AS18" s="30"/>
      <c r="AT18" s="30"/>
      <c r="AU18" s="30"/>
      <c r="AV18" s="30"/>
      <c r="AW18" s="30"/>
      <c r="AX18" s="31"/>
    </row>
    <row r="19" spans="1:50">
      <c r="A19" s="29"/>
      <c r="B19" s="30"/>
      <c r="C19" s="30"/>
      <c r="D19" s="30"/>
      <c r="E19" s="30"/>
      <c r="F19" s="30"/>
      <c r="G19" s="30"/>
      <c r="H19" s="30"/>
      <c r="I19" s="30"/>
      <c r="J19" s="30"/>
      <c r="K19" s="30"/>
      <c r="L19" s="30"/>
      <c r="M19" s="30"/>
      <c r="N19" s="30"/>
      <c r="O19" s="30"/>
      <c r="P19" s="30"/>
      <c r="Q19" s="30"/>
      <c r="R19" s="30"/>
      <c r="S19" s="30"/>
      <c r="T19" s="30"/>
      <c r="U19" s="30"/>
      <c r="V19" s="30"/>
      <c r="W19" s="30"/>
      <c r="X19" s="30"/>
      <c r="Y19" s="30"/>
      <c r="Z19" s="30"/>
      <c r="AA19" s="30"/>
      <c r="AB19" s="30"/>
      <c r="AC19" s="30"/>
      <c r="AD19" s="30"/>
      <c r="AE19" s="30"/>
      <c r="AF19" s="30"/>
      <c r="AG19" s="30"/>
      <c r="AH19" s="30"/>
      <c r="AI19" s="30"/>
      <c r="AJ19" s="30"/>
      <c r="AK19" s="30"/>
      <c r="AL19" s="30"/>
      <c r="AM19" s="30"/>
      <c r="AN19" s="30"/>
      <c r="AO19" s="30"/>
      <c r="AP19" s="30"/>
      <c r="AQ19" s="30"/>
      <c r="AR19" s="30"/>
      <c r="AS19" s="30"/>
      <c r="AT19" s="30"/>
      <c r="AU19" s="30"/>
      <c r="AV19" s="30"/>
      <c r="AW19" s="30"/>
      <c r="AX19" s="31"/>
    </row>
    <row r="20" spans="1:50">
      <c r="A20" s="32" t="s">
        <v>10</v>
      </c>
      <c r="B20" s="33"/>
      <c r="C20" s="33"/>
      <c r="D20" s="33"/>
      <c r="E20" s="33"/>
      <c r="F20" s="33"/>
      <c r="G20" s="33"/>
      <c r="H20" s="33"/>
      <c r="I20" s="33"/>
      <c r="J20" s="33"/>
      <c r="K20" s="33"/>
      <c r="L20" s="33"/>
      <c r="M20" s="33"/>
      <c r="N20" s="33"/>
      <c r="O20" s="33"/>
      <c r="P20" s="33"/>
      <c r="Q20" s="33"/>
      <c r="R20" s="33"/>
      <c r="S20" s="33"/>
      <c r="T20" s="33"/>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row>
    <row r="21" spans="1:50">
      <c r="A21" s="35" t="s">
        <v>6</v>
      </c>
      <c r="B21" s="82" t="s">
        <v>2</v>
      </c>
      <c r="C21" s="83"/>
      <c r="D21" s="83"/>
      <c r="E21" s="83"/>
      <c r="F21" s="83"/>
      <c r="G21" s="83"/>
      <c r="H21" s="83"/>
      <c r="I21" s="83"/>
      <c r="J21" s="83"/>
      <c r="K21" s="84"/>
      <c r="L21" s="82" t="s">
        <v>3</v>
      </c>
      <c r="M21" s="83"/>
      <c r="N21" s="83"/>
      <c r="O21" s="83"/>
      <c r="P21" s="83"/>
      <c r="Q21" s="83"/>
      <c r="R21" s="83"/>
      <c r="S21" s="83"/>
      <c r="T21" s="83"/>
      <c r="U21" s="84"/>
      <c r="V21" s="82" t="s">
        <v>7</v>
      </c>
      <c r="W21" s="84"/>
      <c r="X21" s="82" t="s">
        <v>1</v>
      </c>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4"/>
    </row>
    <row r="22" spans="1:50">
      <c r="A22" s="25">
        <f>ROW()-21</f>
        <v>1</v>
      </c>
      <c r="B22" s="77"/>
      <c r="C22" s="78"/>
      <c r="D22" s="78"/>
      <c r="E22" s="78"/>
      <c r="F22" s="78"/>
      <c r="G22" s="78"/>
      <c r="H22" s="78"/>
      <c r="I22" s="78"/>
      <c r="J22" s="78"/>
      <c r="K22" s="79"/>
      <c r="L22" s="77"/>
      <c r="M22" s="78"/>
      <c r="N22" s="78"/>
      <c r="O22" s="78"/>
      <c r="P22" s="78"/>
      <c r="Q22" s="78"/>
      <c r="R22" s="78"/>
      <c r="S22" s="78"/>
      <c r="T22" s="78"/>
      <c r="U22" s="79"/>
      <c r="V22" s="80"/>
      <c r="W22" s="81"/>
      <c r="X22" s="77"/>
      <c r="Y22" s="78"/>
      <c r="Z22" s="78"/>
      <c r="AA22" s="78"/>
      <c r="AB22" s="78"/>
      <c r="AC22" s="78"/>
      <c r="AD22" s="78"/>
      <c r="AE22" s="78"/>
      <c r="AF22" s="78"/>
      <c r="AG22" s="78"/>
      <c r="AH22" s="78"/>
      <c r="AI22" s="78"/>
      <c r="AJ22" s="78"/>
      <c r="AK22" s="78"/>
      <c r="AL22" s="78"/>
      <c r="AM22" s="78"/>
      <c r="AN22" s="78"/>
      <c r="AO22" s="78"/>
      <c r="AP22" s="78"/>
      <c r="AQ22" s="78"/>
      <c r="AR22" s="78"/>
      <c r="AS22" s="78"/>
      <c r="AT22" s="78"/>
      <c r="AU22" s="78"/>
      <c r="AV22" s="78"/>
      <c r="AW22" s="78"/>
      <c r="AX22" s="79"/>
    </row>
    <row r="23" spans="1:50">
      <c r="A23" s="25">
        <f t="shared" ref="A23:A30" si="0">ROW()-21</f>
        <v>2</v>
      </c>
      <c r="B23" s="77"/>
      <c r="C23" s="78"/>
      <c r="D23" s="78"/>
      <c r="E23" s="78"/>
      <c r="F23" s="78"/>
      <c r="G23" s="78"/>
      <c r="H23" s="78"/>
      <c r="I23" s="78"/>
      <c r="J23" s="78"/>
      <c r="K23" s="79"/>
      <c r="L23" s="77"/>
      <c r="M23" s="78"/>
      <c r="N23" s="78"/>
      <c r="O23" s="78"/>
      <c r="P23" s="78"/>
      <c r="Q23" s="78"/>
      <c r="R23" s="78"/>
      <c r="S23" s="78"/>
      <c r="T23" s="78"/>
      <c r="U23" s="79"/>
      <c r="V23" s="80"/>
      <c r="W23" s="81"/>
      <c r="X23" s="77"/>
      <c r="Y23" s="78"/>
      <c r="Z23" s="78"/>
      <c r="AA23" s="78"/>
      <c r="AB23" s="78"/>
      <c r="AC23" s="78"/>
      <c r="AD23" s="78"/>
      <c r="AE23" s="78"/>
      <c r="AF23" s="78"/>
      <c r="AG23" s="78"/>
      <c r="AH23" s="78"/>
      <c r="AI23" s="78"/>
      <c r="AJ23" s="78"/>
      <c r="AK23" s="78"/>
      <c r="AL23" s="78"/>
      <c r="AM23" s="78"/>
      <c r="AN23" s="78"/>
      <c r="AO23" s="78"/>
      <c r="AP23" s="78"/>
      <c r="AQ23" s="78"/>
      <c r="AR23" s="78"/>
      <c r="AS23" s="78"/>
      <c r="AT23" s="78"/>
      <c r="AU23" s="78"/>
      <c r="AV23" s="78"/>
      <c r="AW23" s="78"/>
      <c r="AX23" s="79"/>
    </row>
    <row r="24" spans="1:50">
      <c r="A24" s="25">
        <f t="shared" si="0"/>
        <v>3</v>
      </c>
      <c r="B24" s="77"/>
      <c r="C24" s="78"/>
      <c r="D24" s="78"/>
      <c r="E24" s="78"/>
      <c r="F24" s="78"/>
      <c r="G24" s="78"/>
      <c r="H24" s="78"/>
      <c r="I24" s="78"/>
      <c r="J24" s="78"/>
      <c r="K24" s="79"/>
      <c r="L24" s="77"/>
      <c r="M24" s="78"/>
      <c r="N24" s="78"/>
      <c r="O24" s="78"/>
      <c r="P24" s="78"/>
      <c r="Q24" s="78"/>
      <c r="R24" s="78"/>
      <c r="S24" s="78"/>
      <c r="T24" s="78"/>
      <c r="U24" s="79"/>
      <c r="V24" s="80"/>
      <c r="W24" s="81"/>
      <c r="X24" s="77"/>
      <c r="Y24" s="78"/>
      <c r="Z24" s="78"/>
      <c r="AA24" s="78"/>
      <c r="AB24" s="78"/>
      <c r="AC24" s="78"/>
      <c r="AD24" s="78"/>
      <c r="AE24" s="78"/>
      <c r="AF24" s="78"/>
      <c r="AG24" s="78"/>
      <c r="AH24" s="78"/>
      <c r="AI24" s="78"/>
      <c r="AJ24" s="78"/>
      <c r="AK24" s="78"/>
      <c r="AL24" s="78"/>
      <c r="AM24" s="78"/>
      <c r="AN24" s="78"/>
      <c r="AO24" s="78"/>
      <c r="AP24" s="78"/>
      <c r="AQ24" s="78"/>
      <c r="AR24" s="78"/>
      <c r="AS24" s="78"/>
      <c r="AT24" s="78"/>
      <c r="AU24" s="78"/>
      <c r="AV24" s="78"/>
      <c r="AW24" s="78"/>
      <c r="AX24" s="79"/>
    </row>
    <row r="25" spans="1:50">
      <c r="A25" s="25">
        <f t="shared" si="0"/>
        <v>4</v>
      </c>
      <c r="B25" s="77"/>
      <c r="C25" s="78"/>
      <c r="D25" s="78"/>
      <c r="E25" s="78"/>
      <c r="F25" s="78"/>
      <c r="G25" s="78"/>
      <c r="H25" s="78"/>
      <c r="I25" s="78"/>
      <c r="J25" s="78"/>
      <c r="K25" s="79"/>
      <c r="L25" s="77"/>
      <c r="M25" s="78"/>
      <c r="N25" s="78"/>
      <c r="O25" s="78"/>
      <c r="P25" s="78"/>
      <c r="Q25" s="78"/>
      <c r="R25" s="78"/>
      <c r="S25" s="78"/>
      <c r="T25" s="78"/>
      <c r="U25" s="79"/>
      <c r="V25" s="80"/>
      <c r="W25" s="81"/>
      <c r="X25" s="77"/>
      <c r="Y25" s="78"/>
      <c r="Z25" s="78"/>
      <c r="AA25" s="78"/>
      <c r="AB25" s="78"/>
      <c r="AC25" s="78"/>
      <c r="AD25" s="78"/>
      <c r="AE25" s="78"/>
      <c r="AF25" s="78"/>
      <c r="AG25" s="78"/>
      <c r="AH25" s="78"/>
      <c r="AI25" s="78"/>
      <c r="AJ25" s="78"/>
      <c r="AK25" s="78"/>
      <c r="AL25" s="78"/>
      <c r="AM25" s="78"/>
      <c r="AN25" s="78"/>
      <c r="AO25" s="78"/>
      <c r="AP25" s="78"/>
      <c r="AQ25" s="78"/>
      <c r="AR25" s="78"/>
      <c r="AS25" s="78"/>
      <c r="AT25" s="78"/>
      <c r="AU25" s="78"/>
      <c r="AV25" s="78"/>
      <c r="AW25" s="78"/>
      <c r="AX25" s="79"/>
    </row>
    <row r="26" spans="1:50">
      <c r="A26" s="25">
        <f t="shared" si="0"/>
        <v>5</v>
      </c>
      <c r="B26" s="77"/>
      <c r="C26" s="78"/>
      <c r="D26" s="78"/>
      <c r="E26" s="78"/>
      <c r="F26" s="78"/>
      <c r="G26" s="78"/>
      <c r="H26" s="78"/>
      <c r="I26" s="78"/>
      <c r="J26" s="78"/>
      <c r="K26" s="79"/>
      <c r="L26" s="77"/>
      <c r="M26" s="78"/>
      <c r="N26" s="78"/>
      <c r="O26" s="78"/>
      <c r="P26" s="78"/>
      <c r="Q26" s="78"/>
      <c r="R26" s="78"/>
      <c r="S26" s="78"/>
      <c r="T26" s="78"/>
      <c r="U26" s="79"/>
      <c r="V26" s="80"/>
      <c r="W26" s="81"/>
      <c r="X26" s="77"/>
      <c r="Y26" s="78"/>
      <c r="Z26" s="78"/>
      <c r="AA26" s="78"/>
      <c r="AB26" s="78"/>
      <c r="AC26" s="78"/>
      <c r="AD26" s="78"/>
      <c r="AE26" s="78"/>
      <c r="AF26" s="78"/>
      <c r="AG26" s="78"/>
      <c r="AH26" s="78"/>
      <c r="AI26" s="78"/>
      <c r="AJ26" s="78"/>
      <c r="AK26" s="78"/>
      <c r="AL26" s="78"/>
      <c r="AM26" s="78"/>
      <c r="AN26" s="78"/>
      <c r="AO26" s="78"/>
      <c r="AP26" s="78"/>
      <c r="AQ26" s="78"/>
      <c r="AR26" s="78"/>
      <c r="AS26" s="78"/>
      <c r="AT26" s="78"/>
      <c r="AU26" s="78"/>
      <c r="AV26" s="78"/>
      <c r="AW26" s="78"/>
      <c r="AX26" s="79"/>
    </row>
    <row r="27" spans="1:50">
      <c r="A27" s="25">
        <f t="shared" si="0"/>
        <v>6</v>
      </c>
      <c r="B27" s="77"/>
      <c r="C27" s="78"/>
      <c r="D27" s="78"/>
      <c r="E27" s="78"/>
      <c r="F27" s="78"/>
      <c r="G27" s="78"/>
      <c r="H27" s="78"/>
      <c r="I27" s="78"/>
      <c r="J27" s="78"/>
      <c r="K27" s="79"/>
      <c r="L27" s="77"/>
      <c r="M27" s="78"/>
      <c r="N27" s="78"/>
      <c r="O27" s="78"/>
      <c r="P27" s="78"/>
      <c r="Q27" s="78"/>
      <c r="R27" s="78"/>
      <c r="S27" s="78"/>
      <c r="T27" s="78"/>
      <c r="U27" s="79"/>
      <c r="V27" s="80"/>
      <c r="W27" s="81"/>
      <c r="X27" s="77"/>
      <c r="Y27" s="78"/>
      <c r="Z27" s="78"/>
      <c r="AA27" s="78"/>
      <c r="AB27" s="78"/>
      <c r="AC27" s="78"/>
      <c r="AD27" s="78"/>
      <c r="AE27" s="78"/>
      <c r="AF27" s="78"/>
      <c r="AG27" s="78"/>
      <c r="AH27" s="78"/>
      <c r="AI27" s="78"/>
      <c r="AJ27" s="78"/>
      <c r="AK27" s="78"/>
      <c r="AL27" s="78"/>
      <c r="AM27" s="78"/>
      <c r="AN27" s="78"/>
      <c r="AO27" s="78"/>
      <c r="AP27" s="78"/>
      <c r="AQ27" s="78"/>
      <c r="AR27" s="78"/>
      <c r="AS27" s="78"/>
      <c r="AT27" s="78"/>
      <c r="AU27" s="78"/>
      <c r="AV27" s="78"/>
      <c r="AW27" s="78"/>
      <c r="AX27" s="79"/>
    </row>
    <row r="28" spans="1:50">
      <c r="A28" s="25">
        <f t="shared" si="0"/>
        <v>7</v>
      </c>
      <c r="B28" s="77"/>
      <c r="C28" s="78"/>
      <c r="D28" s="78"/>
      <c r="E28" s="78"/>
      <c r="F28" s="78"/>
      <c r="G28" s="78"/>
      <c r="H28" s="78"/>
      <c r="I28" s="78"/>
      <c r="J28" s="78"/>
      <c r="K28" s="79"/>
      <c r="L28" s="77"/>
      <c r="M28" s="78"/>
      <c r="N28" s="78"/>
      <c r="O28" s="78"/>
      <c r="P28" s="78"/>
      <c r="Q28" s="78"/>
      <c r="R28" s="78"/>
      <c r="S28" s="78"/>
      <c r="T28" s="78"/>
      <c r="U28" s="79"/>
      <c r="V28" s="80"/>
      <c r="W28" s="81"/>
      <c r="X28" s="77"/>
      <c r="Y28" s="78"/>
      <c r="Z28" s="78"/>
      <c r="AA28" s="78"/>
      <c r="AB28" s="78"/>
      <c r="AC28" s="78"/>
      <c r="AD28" s="78"/>
      <c r="AE28" s="78"/>
      <c r="AF28" s="78"/>
      <c r="AG28" s="78"/>
      <c r="AH28" s="78"/>
      <c r="AI28" s="78"/>
      <c r="AJ28" s="78"/>
      <c r="AK28" s="78"/>
      <c r="AL28" s="78"/>
      <c r="AM28" s="78"/>
      <c r="AN28" s="78"/>
      <c r="AO28" s="78"/>
      <c r="AP28" s="78"/>
      <c r="AQ28" s="78"/>
      <c r="AR28" s="78"/>
      <c r="AS28" s="78"/>
      <c r="AT28" s="78"/>
      <c r="AU28" s="78"/>
      <c r="AV28" s="78"/>
      <c r="AW28" s="78"/>
      <c r="AX28" s="79"/>
    </row>
    <row r="29" spans="1:50">
      <c r="A29" s="25">
        <f t="shared" si="0"/>
        <v>8</v>
      </c>
      <c r="B29" s="77"/>
      <c r="C29" s="78"/>
      <c r="D29" s="78"/>
      <c r="E29" s="78"/>
      <c r="F29" s="78"/>
      <c r="G29" s="78"/>
      <c r="H29" s="78"/>
      <c r="I29" s="78"/>
      <c r="J29" s="78"/>
      <c r="K29" s="79"/>
      <c r="L29" s="77"/>
      <c r="M29" s="78"/>
      <c r="N29" s="78"/>
      <c r="O29" s="78"/>
      <c r="P29" s="78"/>
      <c r="Q29" s="78"/>
      <c r="R29" s="78"/>
      <c r="S29" s="78"/>
      <c r="T29" s="78"/>
      <c r="U29" s="79"/>
      <c r="V29" s="80"/>
      <c r="W29" s="81"/>
      <c r="X29" s="77"/>
      <c r="Y29" s="78"/>
      <c r="Z29" s="78"/>
      <c r="AA29" s="78"/>
      <c r="AB29" s="78"/>
      <c r="AC29" s="78"/>
      <c r="AD29" s="78"/>
      <c r="AE29" s="78"/>
      <c r="AF29" s="78"/>
      <c r="AG29" s="78"/>
      <c r="AH29" s="78"/>
      <c r="AI29" s="78"/>
      <c r="AJ29" s="78"/>
      <c r="AK29" s="78"/>
      <c r="AL29" s="78"/>
      <c r="AM29" s="78"/>
      <c r="AN29" s="78"/>
      <c r="AO29" s="78"/>
      <c r="AP29" s="78"/>
      <c r="AQ29" s="78"/>
      <c r="AR29" s="78"/>
      <c r="AS29" s="78"/>
      <c r="AT29" s="78"/>
      <c r="AU29" s="78"/>
      <c r="AV29" s="78"/>
      <c r="AW29" s="78"/>
      <c r="AX29" s="79"/>
    </row>
    <row r="30" spans="1:50">
      <c r="A30" s="25">
        <f t="shared" si="0"/>
        <v>9</v>
      </c>
      <c r="B30" s="77"/>
      <c r="C30" s="78"/>
      <c r="D30" s="78"/>
      <c r="E30" s="78"/>
      <c r="F30" s="78"/>
      <c r="G30" s="78"/>
      <c r="H30" s="78"/>
      <c r="I30" s="78"/>
      <c r="J30" s="78"/>
      <c r="K30" s="79"/>
      <c r="L30" s="77"/>
      <c r="M30" s="78"/>
      <c r="N30" s="78"/>
      <c r="O30" s="78"/>
      <c r="P30" s="78"/>
      <c r="Q30" s="78"/>
      <c r="R30" s="78"/>
      <c r="S30" s="78"/>
      <c r="T30" s="78"/>
      <c r="U30" s="79"/>
      <c r="V30" s="80"/>
      <c r="W30" s="81"/>
      <c r="X30" s="77"/>
      <c r="Y30" s="78"/>
      <c r="Z30" s="78"/>
      <c r="AA30" s="78"/>
      <c r="AB30" s="78"/>
      <c r="AC30" s="78"/>
      <c r="AD30" s="78"/>
      <c r="AE30" s="78"/>
      <c r="AF30" s="78"/>
      <c r="AG30" s="78"/>
      <c r="AH30" s="78"/>
      <c r="AI30" s="78"/>
      <c r="AJ30" s="78"/>
      <c r="AK30" s="78"/>
      <c r="AL30" s="78"/>
      <c r="AM30" s="78"/>
      <c r="AN30" s="78"/>
      <c r="AO30" s="78"/>
      <c r="AP30" s="78"/>
      <c r="AQ30" s="78"/>
      <c r="AR30" s="78"/>
      <c r="AS30" s="78"/>
      <c r="AT30" s="78"/>
      <c r="AU30" s="78"/>
      <c r="AV30" s="78"/>
      <c r="AW30" s="78"/>
      <c r="AX30" s="79"/>
    </row>
    <row r="31" spans="1:50">
      <c r="A31" s="32" t="s">
        <v>5</v>
      </c>
      <c r="B31" s="33"/>
      <c r="C31" s="33"/>
      <c r="D31" s="33"/>
      <c r="E31" s="33"/>
      <c r="F31" s="33"/>
      <c r="G31" s="33"/>
      <c r="H31" s="33"/>
      <c r="I31" s="33"/>
      <c r="J31" s="33"/>
      <c r="K31" s="33"/>
      <c r="L31" s="33"/>
      <c r="M31" s="33"/>
      <c r="N31" s="33"/>
      <c r="O31" s="33"/>
      <c r="P31" s="33"/>
      <c r="Q31" s="33"/>
      <c r="R31" s="33"/>
      <c r="S31" s="33"/>
      <c r="T31" s="33"/>
      <c r="U31" s="33"/>
      <c r="V31" s="33"/>
      <c r="W31" s="33"/>
      <c r="X31" s="33"/>
      <c r="Y31" s="33"/>
      <c r="Z31" s="33"/>
      <c r="AA31" s="33"/>
      <c r="AB31" s="33"/>
      <c r="AC31" s="33"/>
      <c r="AD31" s="33"/>
      <c r="AE31" s="33"/>
      <c r="AF31" s="33"/>
      <c r="AG31" s="33"/>
      <c r="AH31" s="33"/>
      <c r="AI31" s="33"/>
      <c r="AJ31" s="33"/>
      <c r="AK31" s="33"/>
      <c r="AL31" s="33"/>
      <c r="AM31" s="33"/>
      <c r="AN31" s="33"/>
      <c r="AO31" s="33"/>
      <c r="AP31" s="33"/>
      <c r="AQ31" s="33"/>
      <c r="AR31" s="33"/>
      <c r="AS31" s="33"/>
      <c r="AT31" s="33"/>
      <c r="AU31" s="33"/>
      <c r="AV31" s="33"/>
      <c r="AW31" s="33"/>
      <c r="AX31" s="34"/>
    </row>
    <row r="32" spans="1:50">
      <c r="A32" s="35" t="s">
        <v>6</v>
      </c>
      <c r="B32" s="82" t="s">
        <v>2</v>
      </c>
      <c r="C32" s="83"/>
      <c r="D32" s="83"/>
      <c r="E32" s="83"/>
      <c r="F32" s="83"/>
      <c r="G32" s="83"/>
      <c r="H32" s="83"/>
      <c r="I32" s="83"/>
      <c r="J32" s="83"/>
      <c r="K32" s="84"/>
      <c r="L32" s="82" t="s">
        <v>3</v>
      </c>
      <c r="M32" s="83"/>
      <c r="N32" s="83"/>
      <c r="O32" s="83"/>
      <c r="P32" s="83"/>
      <c r="Q32" s="83"/>
      <c r="R32" s="83"/>
      <c r="S32" s="83"/>
      <c r="T32" s="83"/>
      <c r="U32" s="84"/>
      <c r="V32" s="82" t="s">
        <v>7</v>
      </c>
      <c r="W32" s="84"/>
      <c r="X32" s="82" t="s">
        <v>1</v>
      </c>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4"/>
    </row>
    <row r="33" spans="1:50">
      <c r="A33" s="25">
        <f>ROW()-32</f>
        <v>1</v>
      </c>
      <c r="B33" s="77"/>
      <c r="C33" s="78"/>
      <c r="D33" s="78"/>
      <c r="E33" s="78"/>
      <c r="F33" s="78"/>
      <c r="G33" s="78"/>
      <c r="H33" s="78"/>
      <c r="I33" s="78"/>
      <c r="J33" s="78"/>
      <c r="K33" s="79"/>
      <c r="L33" s="77"/>
      <c r="M33" s="78"/>
      <c r="N33" s="78"/>
      <c r="O33" s="78"/>
      <c r="P33" s="78"/>
      <c r="Q33" s="78"/>
      <c r="R33" s="78"/>
      <c r="S33" s="78"/>
      <c r="T33" s="78"/>
      <c r="U33" s="79"/>
      <c r="V33" s="80"/>
      <c r="W33" s="81"/>
      <c r="X33" s="77"/>
      <c r="Y33" s="78"/>
      <c r="Z33" s="78"/>
      <c r="AA33" s="78"/>
      <c r="AB33" s="78"/>
      <c r="AC33" s="78"/>
      <c r="AD33" s="78"/>
      <c r="AE33" s="78"/>
      <c r="AF33" s="78"/>
      <c r="AG33" s="78"/>
      <c r="AH33" s="78"/>
      <c r="AI33" s="78"/>
      <c r="AJ33" s="78"/>
      <c r="AK33" s="78"/>
      <c r="AL33" s="78"/>
      <c r="AM33" s="78"/>
      <c r="AN33" s="78"/>
      <c r="AO33" s="78"/>
      <c r="AP33" s="78"/>
      <c r="AQ33" s="78"/>
      <c r="AR33" s="78"/>
      <c r="AS33" s="78"/>
      <c r="AT33" s="78"/>
      <c r="AU33" s="78"/>
      <c r="AV33" s="78"/>
      <c r="AW33" s="78"/>
      <c r="AX33" s="79"/>
    </row>
    <row r="34" spans="1:50">
      <c r="A34" s="25">
        <f t="shared" ref="A34:A41" si="1">ROW()-32</f>
        <v>2</v>
      </c>
      <c r="B34" s="77"/>
      <c r="C34" s="78"/>
      <c r="D34" s="78"/>
      <c r="E34" s="78"/>
      <c r="F34" s="78"/>
      <c r="G34" s="78"/>
      <c r="H34" s="78"/>
      <c r="I34" s="78"/>
      <c r="J34" s="78"/>
      <c r="K34" s="79"/>
      <c r="L34" s="77"/>
      <c r="M34" s="78"/>
      <c r="N34" s="78"/>
      <c r="O34" s="78"/>
      <c r="P34" s="78"/>
      <c r="Q34" s="78"/>
      <c r="R34" s="78"/>
      <c r="S34" s="78"/>
      <c r="T34" s="78"/>
      <c r="U34" s="79"/>
      <c r="V34" s="80"/>
      <c r="W34" s="81"/>
      <c r="X34" s="77"/>
      <c r="Y34" s="78"/>
      <c r="Z34" s="78"/>
      <c r="AA34" s="78"/>
      <c r="AB34" s="78"/>
      <c r="AC34" s="78"/>
      <c r="AD34" s="78"/>
      <c r="AE34" s="78"/>
      <c r="AF34" s="78"/>
      <c r="AG34" s="78"/>
      <c r="AH34" s="78"/>
      <c r="AI34" s="78"/>
      <c r="AJ34" s="78"/>
      <c r="AK34" s="78"/>
      <c r="AL34" s="78"/>
      <c r="AM34" s="78"/>
      <c r="AN34" s="78"/>
      <c r="AO34" s="78"/>
      <c r="AP34" s="78"/>
      <c r="AQ34" s="78"/>
      <c r="AR34" s="78"/>
      <c r="AS34" s="78"/>
      <c r="AT34" s="78"/>
      <c r="AU34" s="78"/>
      <c r="AV34" s="78"/>
      <c r="AW34" s="78"/>
      <c r="AX34" s="79"/>
    </row>
    <row r="35" spans="1:50">
      <c r="A35" s="25">
        <f t="shared" si="1"/>
        <v>3</v>
      </c>
      <c r="B35" s="77"/>
      <c r="C35" s="78"/>
      <c r="D35" s="78"/>
      <c r="E35" s="78"/>
      <c r="F35" s="78"/>
      <c r="G35" s="78"/>
      <c r="H35" s="78"/>
      <c r="I35" s="78"/>
      <c r="J35" s="78"/>
      <c r="K35" s="79"/>
      <c r="L35" s="77"/>
      <c r="M35" s="78"/>
      <c r="N35" s="78"/>
      <c r="O35" s="78"/>
      <c r="P35" s="78"/>
      <c r="Q35" s="78"/>
      <c r="R35" s="78"/>
      <c r="S35" s="78"/>
      <c r="T35" s="78"/>
      <c r="U35" s="79"/>
      <c r="V35" s="80"/>
      <c r="W35" s="81"/>
      <c r="X35" s="77"/>
      <c r="Y35" s="78"/>
      <c r="Z35" s="78"/>
      <c r="AA35" s="78"/>
      <c r="AB35" s="78"/>
      <c r="AC35" s="78"/>
      <c r="AD35" s="78"/>
      <c r="AE35" s="78"/>
      <c r="AF35" s="78"/>
      <c r="AG35" s="78"/>
      <c r="AH35" s="78"/>
      <c r="AI35" s="78"/>
      <c r="AJ35" s="78"/>
      <c r="AK35" s="78"/>
      <c r="AL35" s="78"/>
      <c r="AM35" s="78"/>
      <c r="AN35" s="78"/>
      <c r="AO35" s="78"/>
      <c r="AP35" s="78"/>
      <c r="AQ35" s="78"/>
      <c r="AR35" s="78"/>
      <c r="AS35" s="78"/>
      <c r="AT35" s="78"/>
      <c r="AU35" s="78"/>
      <c r="AV35" s="78"/>
      <c r="AW35" s="78"/>
      <c r="AX35" s="79"/>
    </row>
    <row r="36" spans="1:50">
      <c r="A36" s="25">
        <f t="shared" si="1"/>
        <v>4</v>
      </c>
      <c r="B36" s="77"/>
      <c r="C36" s="78"/>
      <c r="D36" s="78"/>
      <c r="E36" s="78"/>
      <c r="F36" s="78"/>
      <c r="G36" s="78"/>
      <c r="H36" s="78"/>
      <c r="I36" s="78"/>
      <c r="J36" s="78"/>
      <c r="K36" s="79"/>
      <c r="L36" s="77"/>
      <c r="M36" s="78"/>
      <c r="N36" s="78"/>
      <c r="O36" s="78"/>
      <c r="P36" s="78"/>
      <c r="Q36" s="78"/>
      <c r="R36" s="78"/>
      <c r="S36" s="78"/>
      <c r="T36" s="78"/>
      <c r="U36" s="79"/>
      <c r="V36" s="80"/>
      <c r="W36" s="81"/>
      <c r="X36" s="77"/>
      <c r="Y36" s="78"/>
      <c r="Z36" s="78"/>
      <c r="AA36" s="78"/>
      <c r="AB36" s="78"/>
      <c r="AC36" s="78"/>
      <c r="AD36" s="78"/>
      <c r="AE36" s="78"/>
      <c r="AF36" s="78"/>
      <c r="AG36" s="78"/>
      <c r="AH36" s="78"/>
      <c r="AI36" s="78"/>
      <c r="AJ36" s="78"/>
      <c r="AK36" s="78"/>
      <c r="AL36" s="78"/>
      <c r="AM36" s="78"/>
      <c r="AN36" s="78"/>
      <c r="AO36" s="78"/>
      <c r="AP36" s="78"/>
      <c r="AQ36" s="78"/>
      <c r="AR36" s="78"/>
      <c r="AS36" s="78"/>
      <c r="AT36" s="78"/>
      <c r="AU36" s="78"/>
      <c r="AV36" s="78"/>
      <c r="AW36" s="78"/>
      <c r="AX36" s="79"/>
    </row>
    <row r="37" spans="1:50">
      <c r="A37" s="25">
        <f t="shared" si="1"/>
        <v>5</v>
      </c>
      <c r="B37" s="77"/>
      <c r="C37" s="78"/>
      <c r="D37" s="78"/>
      <c r="E37" s="78"/>
      <c r="F37" s="78"/>
      <c r="G37" s="78"/>
      <c r="H37" s="78"/>
      <c r="I37" s="78"/>
      <c r="J37" s="78"/>
      <c r="K37" s="79"/>
      <c r="L37" s="77"/>
      <c r="M37" s="78"/>
      <c r="N37" s="78"/>
      <c r="O37" s="78"/>
      <c r="P37" s="78"/>
      <c r="Q37" s="78"/>
      <c r="R37" s="78"/>
      <c r="S37" s="78"/>
      <c r="T37" s="78"/>
      <c r="U37" s="79"/>
      <c r="V37" s="80"/>
      <c r="W37" s="81"/>
      <c r="X37" s="77"/>
      <c r="Y37" s="78"/>
      <c r="Z37" s="78"/>
      <c r="AA37" s="78"/>
      <c r="AB37" s="78"/>
      <c r="AC37" s="78"/>
      <c r="AD37" s="78"/>
      <c r="AE37" s="78"/>
      <c r="AF37" s="78"/>
      <c r="AG37" s="78"/>
      <c r="AH37" s="78"/>
      <c r="AI37" s="78"/>
      <c r="AJ37" s="78"/>
      <c r="AK37" s="78"/>
      <c r="AL37" s="78"/>
      <c r="AM37" s="78"/>
      <c r="AN37" s="78"/>
      <c r="AO37" s="78"/>
      <c r="AP37" s="78"/>
      <c r="AQ37" s="78"/>
      <c r="AR37" s="78"/>
      <c r="AS37" s="78"/>
      <c r="AT37" s="78"/>
      <c r="AU37" s="78"/>
      <c r="AV37" s="78"/>
      <c r="AW37" s="78"/>
      <c r="AX37" s="79"/>
    </row>
    <row r="38" spans="1:50">
      <c r="A38" s="25">
        <f t="shared" si="1"/>
        <v>6</v>
      </c>
      <c r="B38" s="77"/>
      <c r="C38" s="78"/>
      <c r="D38" s="78"/>
      <c r="E38" s="78"/>
      <c r="F38" s="78"/>
      <c r="G38" s="78"/>
      <c r="H38" s="78"/>
      <c r="I38" s="78"/>
      <c r="J38" s="78"/>
      <c r="K38" s="79"/>
      <c r="L38" s="77"/>
      <c r="M38" s="78"/>
      <c r="N38" s="78"/>
      <c r="O38" s="78"/>
      <c r="P38" s="78"/>
      <c r="Q38" s="78"/>
      <c r="R38" s="78"/>
      <c r="S38" s="78"/>
      <c r="T38" s="78"/>
      <c r="U38" s="79"/>
      <c r="V38" s="80"/>
      <c r="W38" s="81"/>
      <c r="X38" s="77"/>
      <c r="Y38" s="78"/>
      <c r="Z38" s="78"/>
      <c r="AA38" s="78"/>
      <c r="AB38" s="78"/>
      <c r="AC38" s="78"/>
      <c r="AD38" s="78"/>
      <c r="AE38" s="78"/>
      <c r="AF38" s="78"/>
      <c r="AG38" s="78"/>
      <c r="AH38" s="78"/>
      <c r="AI38" s="78"/>
      <c r="AJ38" s="78"/>
      <c r="AK38" s="78"/>
      <c r="AL38" s="78"/>
      <c r="AM38" s="78"/>
      <c r="AN38" s="78"/>
      <c r="AO38" s="78"/>
      <c r="AP38" s="78"/>
      <c r="AQ38" s="78"/>
      <c r="AR38" s="78"/>
      <c r="AS38" s="78"/>
      <c r="AT38" s="78"/>
      <c r="AU38" s="78"/>
      <c r="AV38" s="78"/>
      <c r="AW38" s="78"/>
      <c r="AX38" s="79"/>
    </row>
    <row r="39" spans="1:50">
      <c r="A39" s="25">
        <f t="shared" si="1"/>
        <v>7</v>
      </c>
      <c r="B39" s="77"/>
      <c r="C39" s="78"/>
      <c r="D39" s="78"/>
      <c r="E39" s="78"/>
      <c r="F39" s="78"/>
      <c r="G39" s="78"/>
      <c r="H39" s="78"/>
      <c r="I39" s="78"/>
      <c r="J39" s="78"/>
      <c r="K39" s="79"/>
      <c r="L39" s="77"/>
      <c r="M39" s="78"/>
      <c r="N39" s="78"/>
      <c r="O39" s="78"/>
      <c r="P39" s="78"/>
      <c r="Q39" s="78"/>
      <c r="R39" s="78"/>
      <c r="S39" s="78"/>
      <c r="T39" s="78"/>
      <c r="U39" s="79"/>
      <c r="V39" s="80"/>
      <c r="W39" s="81"/>
      <c r="X39" s="77"/>
      <c r="Y39" s="78"/>
      <c r="Z39" s="78"/>
      <c r="AA39" s="78"/>
      <c r="AB39" s="78"/>
      <c r="AC39" s="78"/>
      <c r="AD39" s="78"/>
      <c r="AE39" s="78"/>
      <c r="AF39" s="78"/>
      <c r="AG39" s="78"/>
      <c r="AH39" s="78"/>
      <c r="AI39" s="78"/>
      <c r="AJ39" s="78"/>
      <c r="AK39" s="78"/>
      <c r="AL39" s="78"/>
      <c r="AM39" s="78"/>
      <c r="AN39" s="78"/>
      <c r="AO39" s="78"/>
      <c r="AP39" s="78"/>
      <c r="AQ39" s="78"/>
      <c r="AR39" s="78"/>
      <c r="AS39" s="78"/>
      <c r="AT39" s="78"/>
      <c r="AU39" s="78"/>
      <c r="AV39" s="78"/>
      <c r="AW39" s="78"/>
      <c r="AX39" s="79"/>
    </row>
    <row r="40" spans="1:50">
      <c r="A40" s="25">
        <f t="shared" si="1"/>
        <v>8</v>
      </c>
      <c r="B40" s="77"/>
      <c r="C40" s="78"/>
      <c r="D40" s="78"/>
      <c r="E40" s="78"/>
      <c r="F40" s="78"/>
      <c r="G40" s="78"/>
      <c r="H40" s="78"/>
      <c r="I40" s="78"/>
      <c r="J40" s="78"/>
      <c r="K40" s="79"/>
      <c r="L40" s="77"/>
      <c r="M40" s="78"/>
      <c r="N40" s="78"/>
      <c r="O40" s="78"/>
      <c r="P40" s="78"/>
      <c r="Q40" s="78"/>
      <c r="R40" s="78"/>
      <c r="S40" s="78"/>
      <c r="T40" s="78"/>
      <c r="U40" s="79"/>
      <c r="V40" s="80"/>
      <c r="W40" s="81"/>
      <c r="X40" s="77"/>
      <c r="Y40" s="78"/>
      <c r="Z40" s="78"/>
      <c r="AA40" s="78"/>
      <c r="AB40" s="78"/>
      <c r="AC40" s="78"/>
      <c r="AD40" s="78"/>
      <c r="AE40" s="78"/>
      <c r="AF40" s="78"/>
      <c r="AG40" s="78"/>
      <c r="AH40" s="78"/>
      <c r="AI40" s="78"/>
      <c r="AJ40" s="78"/>
      <c r="AK40" s="78"/>
      <c r="AL40" s="78"/>
      <c r="AM40" s="78"/>
      <c r="AN40" s="78"/>
      <c r="AO40" s="78"/>
      <c r="AP40" s="78"/>
      <c r="AQ40" s="78"/>
      <c r="AR40" s="78"/>
      <c r="AS40" s="78"/>
      <c r="AT40" s="78"/>
      <c r="AU40" s="78"/>
      <c r="AV40" s="78"/>
      <c r="AW40" s="78"/>
      <c r="AX40" s="79"/>
    </row>
    <row r="41" spans="1:50">
      <c r="A41" s="25">
        <f t="shared" si="1"/>
        <v>9</v>
      </c>
      <c r="B41" s="77"/>
      <c r="C41" s="78"/>
      <c r="D41" s="78"/>
      <c r="E41" s="78"/>
      <c r="F41" s="78"/>
      <c r="G41" s="78"/>
      <c r="H41" s="78"/>
      <c r="I41" s="78"/>
      <c r="J41" s="78"/>
      <c r="K41" s="79"/>
      <c r="L41" s="77"/>
      <c r="M41" s="78"/>
      <c r="N41" s="78"/>
      <c r="O41" s="78"/>
      <c r="P41" s="78"/>
      <c r="Q41" s="78"/>
      <c r="R41" s="78"/>
      <c r="S41" s="78"/>
      <c r="T41" s="78"/>
      <c r="U41" s="79"/>
      <c r="V41" s="80"/>
      <c r="W41" s="81"/>
      <c r="X41" s="77"/>
      <c r="Y41" s="78"/>
      <c r="Z41" s="78"/>
      <c r="AA41" s="78"/>
      <c r="AB41" s="78"/>
      <c r="AC41" s="78"/>
      <c r="AD41" s="78"/>
      <c r="AE41" s="78"/>
      <c r="AF41" s="78"/>
      <c r="AG41" s="78"/>
      <c r="AH41" s="78"/>
      <c r="AI41" s="78"/>
      <c r="AJ41" s="78"/>
      <c r="AK41" s="78"/>
      <c r="AL41" s="78"/>
      <c r="AM41" s="78"/>
      <c r="AN41" s="78"/>
      <c r="AO41" s="78"/>
      <c r="AP41" s="78"/>
      <c r="AQ41" s="78"/>
      <c r="AR41" s="78"/>
      <c r="AS41" s="78"/>
      <c r="AT41" s="78"/>
      <c r="AU41" s="78"/>
      <c r="AV41" s="78"/>
      <c r="AW41" s="78"/>
      <c r="AX41" s="79"/>
    </row>
    <row r="42" spans="1:50">
      <c r="A42" s="32" t="s">
        <v>9</v>
      </c>
      <c r="B42" s="33"/>
      <c r="C42" s="33"/>
      <c r="D42" s="33"/>
      <c r="E42" s="33"/>
      <c r="F42" s="33"/>
      <c r="G42" s="33"/>
      <c r="H42" s="33"/>
      <c r="I42" s="33"/>
      <c r="J42" s="33"/>
      <c r="K42" s="33"/>
      <c r="L42" s="33"/>
      <c r="M42" s="33"/>
      <c r="N42" s="33"/>
      <c r="O42" s="33"/>
      <c r="P42" s="33"/>
      <c r="Q42" s="33"/>
      <c r="R42" s="33"/>
      <c r="S42" s="33"/>
      <c r="T42" s="33"/>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3"/>
      <c r="AV42" s="33"/>
      <c r="AW42" s="33"/>
      <c r="AX42" s="34"/>
    </row>
    <row r="43" spans="1:50">
      <c r="A43" s="35" t="s">
        <v>6</v>
      </c>
      <c r="B43" s="82" t="s">
        <v>2</v>
      </c>
      <c r="C43" s="83"/>
      <c r="D43" s="83"/>
      <c r="E43" s="83"/>
      <c r="F43" s="83"/>
      <c r="G43" s="83"/>
      <c r="H43" s="83"/>
      <c r="I43" s="83"/>
      <c r="J43" s="83"/>
      <c r="K43" s="84"/>
      <c r="L43" s="82" t="s">
        <v>3</v>
      </c>
      <c r="M43" s="83"/>
      <c r="N43" s="83"/>
      <c r="O43" s="83"/>
      <c r="P43" s="83"/>
      <c r="Q43" s="83"/>
      <c r="R43" s="83"/>
      <c r="S43" s="83"/>
      <c r="T43" s="83"/>
      <c r="U43" s="84"/>
      <c r="V43" s="82" t="s">
        <v>7</v>
      </c>
      <c r="W43" s="84"/>
      <c r="X43" s="82" t="s">
        <v>1</v>
      </c>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4"/>
    </row>
    <row r="44" spans="1:50">
      <c r="A44" s="25">
        <f>ROW()-43</f>
        <v>1</v>
      </c>
      <c r="B44" s="77"/>
      <c r="C44" s="78"/>
      <c r="D44" s="78"/>
      <c r="E44" s="78"/>
      <c r="F44" s="78"/>
      <c r="G44" s="78"/>
      <c r="H44" s="78"/>
      <c r="I44" s="78"/>
      <c r="J44" s="78"/>
      <c r="K44" s="79"/>
      <c r="L44" s="77"/>
      <c r="M44" s="78"/>
      <c r="N44" s="78"/>
      <c r="O44" s="78"/>
      <c r="P44" s="78"/>
      <c r="Q44" s="78"/>
      <c r="R44" s="78"/>
      <c r="S44" s="78"/>
      <c r="T44" s="78"/>
      <c r="U44" s="79"/>
      <c r="V44" s="80"/>
      <c r="W44" s="81"/>
      <c r="X44" s="77"/>
      <c r="Y44" s="78"/>
      <c r="Z44" s="78"/>
      <c r="AA44" s="78"/>
      <c r="AB44" s="78"/>
      <c r="AC44" s="78"/>
      <c r="AD44" s="78"/>
      <c r="AE44" s="78"/>
      <c r="AF44" s="78"/>
      <c r="AG44" s="78"/>
      <c r="AH44" s="78"/>
      <c r="AI44" s="78"/>
      <c r="AJ44" s="78"/>
      <c r="AK44" s="78"/>
      <c r="AL44" s="78"/>
      <c r="AM44" s="78"/>
      <c r="AN44" s="78"/>
      <c r="AO44" s="78"/>
      <c r="AP44" s="78"/>
      <c r="AQ44" s="78"/>
      <c r="AR44" s="78"/>
      <c r="AS44" s="78"/>
      <c r="AT44" s="78"/>
      <c r="AU44" s="78"/>
      <c r="AV44" s="78"/>
      <c r="AW44" s="78"/>
      <c r="AX44" s="79"/>
    </row>
    <row r="45" spans="1:50">
      <c r="A45" s="25">
        <f t="shared" ref="A45:A52" si="2">ROW()-43</f>
        <v>2</v>
      </c>
      <c r="B45" s="77"/>
      <c r="C45" s="78"/>
      <c r="D45" s="78"/>
      <c r="E45" s="78"/>
      <c r="F45" s="78"/>
      <c r="G45" s="78"/>
      <c r="H45" s="78"/>
      <c r="I45" s="78"/>
      <c r="J45" s="78"/>
      <c r="K45" s="79"/>
      <c r="L45" s="77"/>
      <c r="M45" s="78"/>
      <c r="N45" s="78"/>
      <c r="O45" s="78"/>
      <c r="P45" s="78"/>
      <c r="Q45" s="78"/>
      <c r="R45" s="78"/>
      <c r="S45" s="78"/>
      <c r="T45" s="78"/>
      <c r="U45" s="79"/>
      <c r="V45" s="80"/>
      <c r="W45" s="81"/>
      <c r="X45" s="77"/>
      <c r="Y45" s="78"/>
      <c r="Z45" s="78"/>
      <c r="AA45" s="78"/>
      <c r="AB45" s="78"/>
      <c r="AC45" s="78"/>
      <c r="AD45" s="78"/>
      <c r="AE45" s="78"/>
      <c r="AF45" s="78"/>
      <c r="AG45" s="78"/>
      <c r="AH45" s="78"/>
      <c r="AI45" s="78"/>
      <c r="AJ45" s="78"/>
      <c r="AK45" s="78"/>
      <c r="AL45" s="78"/>
      <c r="AM45" s="78"/>
      <c r="AN45" s="78"/>
      <c r="AO45" s="78"/>
      <c r="AP45" s="78"/>
      <c r="AQ45" s="78"/>
      <c r="AR45" s="78"/>
      <c r="AS45" s="78"/>
      <c r="AT45" s="78"/>
      <c r="AU45" s="78"/>
      <c r="AV45" s="78"/>
      <c r="AW45" s="78"/>
      <c r="AX45" s="79"/>
    </row>
    <row r="46" spans="1:50">
      <c r="A46" s="25">
        <f t="shared" si="2"/>
        <v>3</v>
      </c>
      <c r="B46" s="77"/>
      <c r="C46" s="78"/>
      <c r="D46" s="78"/>
      <c r="E46" s="78"/>
      <c r="F46" s="78"/>
      <c r="G46" s="78"/>
      <c r="H46" s="78"/>
      <c r="I46" s="78"/>
      <c r="J46" s="78"/>
      <c r="K46" s="79"/>
      <c r="L46" s="77"/>
      <c r="M46" s="78"/>
      <c r="N46" s="78"/>
      <c r="O46" s="78"/>
      <c r="P46" s="78"/>
      <c r="Q46" s="78"/>
      <c r="R46" s="78"/>
      <c r="S46" s="78"/>
      <c r="T46" s="78"/>
      <c r="U46" s="79"/>
      <c r="V46" s="80"/>
      <c r="W46" s="81"/>
      <c r="X46" s="77"/>
      <c r="Y46" s="78"/>
      <c r="Z46" s="78"/>
      <c r="AA46" s="78"/>
      <c r="AB46" s="78"/>
      <c r="AC46" s="78"/>
      <c r="AD46" s="78"/>
      <c r="AE46" s="78"/>
      <c r="AF46" s="78"/>
      <c r="AG46" s="78"/>
      <c r="AH46" s="78"/>
      <c r="AI46" s="78"/>
      <c r="AJ46" s="78"/>
      <c r="AK46" s="78"/>
      <c r="AL46" s="78"/>
      <c r="AM46" s="78"/>
      <c r="AN46" s="78"/>
      <c r="AO46" s="78"/>
      <c r="AP46" s="78"/>
      <c r="AQ46" s="78"/>
      <c r="AR46" s="78"/>
      <c r="AS46" s="78"/>
      <c r="AT46" s="78"/>
      <c r="AU46" s="78"/>
      <c r="AV46" s="78"/>
      <c r="AW46" s="78"/>
      <c r="AX46" s="79"/>
    </row>
    <row r="47" spans="1:50">
      <c r="A47" s="25">
        <f t="shared" si="2"/>
        <v>4</v>
      </c>
      <c r="B47" s="77"/>
      <c r="C47" s="78"/>
      <c r="D47" s="78"/>
      <c r="E47" s="78"/>
      <c r="F47" s="78"/>
      <c r="G47" s="78"/>
      <c r="H47" s="78"/>
      <c r="I47" s="78"/>
      <c r="J47" s="78"/>
      <c r="K47" s="79"/>
      <c r="L47" s="77"/>
      <c r="M47" s="78"/>
      <c r="N47" s="78"/>
      <c r="O47" s="78"/>
      <c r="P47" s="78"/>
      <c r="Q47" s="78"/>
      <c r="R47" s="78"/>
      <c r="S47" s="78"/>
      <c r="T47" s="78"/>
      <c r="U47" s="79"/>
      <c r="V47" s="80"/>
      <c r="W47" s="81"/>
      <c r="X47" s="77"/>
      <c r="Y47" s="78"/>
      <c r="Z47" s="78"/>
      <c r="AA47" s="78"/>
      <c r="AB47" s="78"/>
      <c r="AC47" s="78"/>
      <c r="AD47" s="78"/>
      <c r="AE47" s="78"/>
      <c r="AF47" s="78"/>
      <c r="AG47" s="78"/>
      <c r="AH47" s="78"/>
      <c r="AI47" s="78"/>
      <c r="AJ47" s="78"/>
      <c r="AK47" s="78"/>
      <c r="AL47" s="78"/>
      <c r="AM47" s="78"/>
      <c r="AN47" s="78"/>
      <c r="AO47" s="78"/>
      <c r="AP47" s="78"/>
      <c r="AQ47" s="78"/>
      <c r="AR47" s="78"/>
      <c r="AS47" s="78"/>
      <c r="AT47" s="78"/>
      <c r="AU47" s="78"/>
      <c r="AV47" s="78"/>
      <c r="AW47" s="78"/>
      <c r="AX47" s="79"/>
    </row>
    <row r="48" spans="1:50">
      <c r="A48" s="25">
        <f t="shared" si="2"/>
        <v>5</v>
      </c>
      <c r="B48" s="77"/>
      <c r="C48" s="78"/>
      <c r="D48" s="78"/>
      <c r="E48" s="78"/>
      <c r="F48" s="78"/>
      <c r="G48" s="78"/>
      <c r="H48" s="78"/>
      <c r="I48" s="78"/>
      <c r="J48" s="78"/>
      <c r="K48" s="79"/>
      <c r="L48" s="77"/>
      <c r="M48" s="78"/>
      <c r="N48" s="78"/>
      <c r="O48" s="78"/>
      <c r="P48" s="78"/>
      <c r="Q48" s="78"/>
      <c r="R48" s="78"/>
      <c r="S48" s="78"/>
      <c r="T48" s="78"/>
      <c r="U48" s="79"/>
      <c r="V48" s="80"/>
      <c r="W48" s="81"/>
      <c r="X48" s="77"/>
      <c r="Y48" s="78"/>
      <c r="Z48" s="78"/>
      <c r="AA48" s="78"/>
      <c r="AB48" s="78"/>
      <c r="AC48" s="78"/>
      <c r="AD48" s="78"/>
      <c r="AE48" s="78"/>
      <c r="AF48" s="78"/>
      <c r="AG48" s="78"/>
      <c r="AH48" s="78"/>
      <c r="AI48" s="78"/>
      <c r="AJ48" s="78"/>
      <c r="AK48" s="78"/>
      <c r="AL48" s="78"/>
      <c r="AM48" s="78"/>
      <c r="AN48" s="78"/>
      <c r="AO48" s="78"/>
      <c r="AP48" s="78"/>
      <c r="AQ48" s="78"/>
      <c r="AR48" s="78"/>
      <c r="AS48" s="78"/>
      <c r="AT48" s="78"/>
      <c r="AU48" s="78"/>
      <c r="AV48" s="78"/>
      <c r="AW48" s="78"/>
      <c r="AX48" s="79"/>
    </row>
    <row r="49" spans="1:50">
      <c r="A49" s="25">
        <f t="shared" si="2"/>
        <v>6</v>
      </c>
      <c r="B49" s="77"/>
      <c r="C49" s="78"/>
      <c r="D49" s="78"/>
      <c r="E49" s="78"/>
      <c r="F49" s="78"/>
      <c r="G49" s="78"/>
      <c r="H49" s="78"/>
      <c r="I49" s="78"/>
      <c r="J49" s="78"/>
      <c r="K49" s="79"/>
      <c r="L49" s="77"/>
      <c r="M49" s="78"/>
      <c r="N49" s="78"/>
      <c r="O49" s="78"/>
      <c r="P49" s="78"/>
      <c r="Q49" s="78"/>
      <c r="R49" s="78"/>
      <c r="S49" s="78"/>
      <c r="T49" s="78"/>
      <c r="U49" s="79"/>
      <c r="V49" s="80"/>
      <c r="W49" s="81"/>
      <c r="X49" s="77"/>
      <c r="Y49" s="78"/>
      <c r="Z49" s="78"/>
      <c r="AA49" s="78"/>
      <c r="AB49" s="78"/>
      <c r="AC49" s="78"/>
      <c r="AD49" s="78"/>
      <c r="AE49" s="78"/>
      <c r="AF49" s="78"/>
      <c r="AG49" s="78"/>
      <c r="AH49" s="78"/>
      <c r="AI49" s="78"/>
      <c r="AJ49" s="78"/>
      <c r="AK49" s="78"/>
      <c r="AL49" s="78"/>
      <c r="AM49" s="78"/>
      <c r="AN49" s="78"/>
      <c r="AO49" s="78"/>
      <c r="AP49" s="78"/>
      <c r="AQ49" s="78"/>
      <c r="AR49" s="78"/>
      <c r="AS49" s="78"/>
      <c r="AT49" s="78"/>
      <c r="AU49" s="78"/>
      <c r="AV49" s="78"/>
      <c r="AW49" s="78"/>
      <c r="AX49" s="79"/>
    </row>
    <row r="50" spans="1:50">
      <c r="A50" s="25">
        <f t="shared" si="2"/>
        <v>7</v>
      </c>
      <c r="B50" s="77"/>
      <c r="C50" s="78"/>
      <c r="D50" s="78"/>
      <c r="E50" s="78"/>
      <c r="F50" s="78"/>
      <c r="G50" s="78"/>
      <c r="H50" s="78"/>
      <c r="I50" s="78"/>
      <c r="J50" s="78"/>
      <c r="K50" s="79"/>
      <c r="L50" s="77"/>
      <c r="M50" s="78"/>
      <c r="N50" s="78"/>
      <c r="O50" s="78"/>
      <c r="P50" s="78"/>
      <c r="Q50" s="78"/>
      <c r="R50" s="78"/>
      <c r="S50" s="78"/>
      <c r="T50" s="78"/>
      <c r="U50" s="79"/>
      <c r="V50" s="80"/>
      <c r="W50" s="81"/>
      <c r="X50" s="77"/>
      <c r="Y50" s="78"/>
      <c r="Z50" s="78"/>
      <c r="AA50" s="78"/>
      <c r="AB50" s="78"/>
      <c r="AC50" s="78"/>
      <c r="AD50" s="78"/>
      <c r="AE50" s="78"/>
      <c r="AF50" s="78"/>
      <c r="AG50" s="78"/>
      <c r="AH50" s="78"/>
      <c r="AI50" s="78"/>
      <c r="AJ50" s="78"/>
      <c r="AK50" s="78"/>
      <c r="AL50" s="78"/>
      <c r="AM50" s="78"/>
      <c r="AN50" s="78"/>
      <c r="AO50" s="78"/>
      <c r="AP50" s="78"/>
      <c r="AQ50" s="78"/>
      <c r="AR50" s="78"/>
      <c r="AS50" s="78"/>
      <c r="AT50" s="78"/>
      <c r="AU50" s="78"/>
      <c r="AV50" s="78"/>
      <c r="AW50" s="78"/>
      <c r="AX50" s="79"/>
    </row>
    <row r="51" spans="1:50">
      <c r="A51" s="25">
        <f t="shared" si="2"/>
        <v>8</v>
      </c>
      <c r="B51" s="77"/>
      <c r="C51" s="78"/>
      <c r="D51" s="78"/>
      <c r="E51" s="78"/>
      <c r="F51" s="78"/>
      <c r="G51" s="78"/>
      <c r="H51" s="78"/>
      <c r="I51" s="78"/>
      <c r="J51" s="78"/>
      <c r="K51" s="79"/>
      <c r="L51" s="77"/>
      <c r="M51" s="78"/>
      <c r="N51" s="78"/>
      <c r="O51" s="78"/>
      <c r="P51" s="78"/>
      <c r="Q51" s="78"/>
      <c r="R51" s="78"/>
      <c r="S51" s="78"/>
      <c r="T51" s="78"/>
      <c r="U51" s="79"/>
      <c r="V51" s="80"/>
      <c r="W51" s="81"/>
      <c r="X51" s="77"/>
      <c r="Y51" s="78"/>
      <c r="Z51" s="78"/>
      <c r="AA51" s="78"/>
      <c r="AB51" s="78"/>
      <c r="AC51" s="78"/>
      <c r="AD51" s="78"/>
      <c r="AE51" s="78"/>
      <c r="AF51" s="78"/>
      <c r="AG51" s="78"/>
      <c r="AH51" s="78"/>
      <c r="AI51" s="78"/>
      <c r="AJ51" s="78"/>
      <c r="AK51" s="78"/>
      <c r="AL51" s="78"/>
      <c r="AM51" s="78"/>
      <c r="AN51" s="78"/>
      <c r="AO51" s="78"/>
      <c r="AP51" s="78"/>
      <c r="AQ51" s="78"/>
      <c r="AR51" s="78"/>
      <c r="AS51" s="78"/>
      <c r="AT51" s="78"/>
      <c r="AU51" s="78"/>
      <c r="AV51" s="78"/>
      <c r="AW51" s="78"/>
      <c r="AX51" s="79"/>
    </row>
    <row r="52" spans="1:50">
      <c r="A52" s="25">
        <f t="shared" si="2"/>
        <v>9</v>
      </c>
      <c r="B52" s="77"/>
      <c r="C52" s="78"/>
      <c r="D52" s="78"/>
      <c r="E52" s="78"/>
      <c r="F52" s="78"/>
      <c r="G52" s="78"/>
      <c r="H52" s="78"/>
      <c r="I52" s="78"/>
      <c r="J52" s="78"/>
      <c r="K52" s="79"/>
      <c r="L52" s="77"/>
      <c r="M52" s="78"/>
      <c r="N52" s="78"/>
      <c r="O52" s="78"/>
      <c r="P52" s="78"/>
      <c r="Q52" s="78"/>
      <c r="R52" s="78"/>
      <c r="S52" s="78"/>
      <c r="T52" s="78"/>
      <c r="U52" s="79"/>
      <c r="V52" s="80"/>
      <c r="W52" s="81"/>
      <c r="X52" s="77"/>
      <c r="Y52" s="78"/>
      <c r="Z52" s="78"/>
      <c r="AA52" s="78"/>
      <c r="AB52" s="78"/>
      <c r="AC52" s="78"/>
      <c r="AD52" s="78"/>
      <c r="AE52" s="78"/>
      <c r="AF52" s="78"/>
      <c r="AG52" s="78"/>
      <c r="AH52" s="78"/>
      <c r="AI52" s="78"/>
      <c r="AJ52" s="78"/>
      <c r="AK52" s="78"/>
      <c r="AL52" s="78"/>
      <c r="AM52" s="78"/>
      <c r="AN52" s="78"/>
      <c r="AO52" s="78"/>
      <c r="AP52" s="78"/>
      <c r="AQ52" s="78"/>
      <c r="AR52" s="78"/>
      <c r="AS52" s="78"/>
      <c r="AT52" s="78"/>
      <c r="AU52" s="78"/>
      <c r="AV52" s="78"/>
      <c r="AW52" s="78"/>
      <c r="AX52" s="79"/>
    </row>
  </sheetData>
  <mergeCells count="136">
    <mergeCell ref="X36:AX36"/>
    <mergeCell ref="B37:K37"/>
    <mergeCell ref="B29:K29"/>
    <mergeCell ref="L32:U32"/>
    <mergeCell ref="A1:F1"/>
    <mergeCell ref="A2:F2"/>
    <mergeCell ref="X34:AX34"/>
    <mergeCell ref="X35:AX35"/>
    <mergeCell ref="V32:W32"/>
    <mergeCell ref="B33:K33"/>
    <mergeCell ref="B34:K34"/>
    <mergeCell ref="B35:K35"/>
    <mergeCell ref="X21:AX21"/>
    <mergeCell ref="X22:AX22"/>
    <mergeCell ref="X23:AX23"/>
    <mergeCell ref="X24:AX24"/>
    <mergeCell ref="X25:AX25"/>
    <mergeCell ref="X26:AX26"/>
    <mergeCell ref="X27:AX27"/>
    <mergeCell ref="X28:AX28"/>
    <mergeCell ref="B21:K21"/>
    <mergeCell ref="B22:K22"/>
    <mergeCell ref="B23:K23"/>
    <mergeCell ref="B24:K24"/>
    <mergeCell ref="V46:W46"/>
    <mergeCell ref="V47:W47"/>
    <mergeCell ref="V48:W48"/>
    <mergeCell ref="B43:K43"/>
    <mergeCell ref="B44:K44"/>
    <mergeCell ref="B45:K45"/>
    <mergeCell ref="B46:K46"/>
    <mergeCell ref="X45:AX45"/>
    <mergeCell ref="X46:AX46"/>
    <mergeCell ref="L46:U46"/>
    <mergeCell ref="L43:U43"/>
    <mergeCell ref="L45:U45"/>
    <mergeCell ref="X43:AX43"/>
    <mergeCell ref="X44:AX44"/>
    <mergeCell ref="V43:W43"/>
    <mergeCell ref="V44:W44"/>
    <mergeCell ref="L44:U44"/>
    <mergeCell ref="B25:K25"/>
    <mergeCell ref="B26:K26"/>
    <mergeCell ref="B27:K27"/>
    <mergeCell ref="B28:K28"/>
    <mergeCell ref="V24:W24"/>
    <mergeCell ref="L21:U21"/>
    <mergeCell ref="L22:U22"/>
    <mergeCell ref="L23:U23"/>
    <mergeCell ref="L24:U24"/>
    <mergeCell ref="L25:U25"/>
    <mergeCell ref="L26:U26"/>
    <mergeCell ref="L27:U27"/>
    <mergeCell ref="V21:W21"/>
    <mergeCell ref="V22:W22"/>
    <mergeCell ref="V23:W23"/>
    <mergeCell ref="V27:W27"/>
    <mergeCell ref="V25:W25"/>
    <mergeCell ref="V26:W26"/>
    <mergeCell ref="V28:W28"/>
    <mergeCell ref="L28:U28"/>
    <mergeCell ref="V40:W40"/>
    <mergeCell ref="V41:W41"/>
    <mergeCell ref="V45:W45"/>
    <mergeCell ref="B30:K30"/>
    <mergeCell ref="B32:K32"/>
    <mergeCell ref="L34:U34"/>
    <mergeCell ref="B41:K41"/>
    <mergeCell ref="B40:K40"/>
    <mergeCell ref="B38:K38"/>
    <mergeCell ref="B39:K39"/>
    <mergeCell ref="B36:K36"/>
    <mergeCell ref="L35:U35"/>
    <mergeCell ref="V36:W36"/>
    <mergeCell ref="V37:W37"/>
    <mergeCell ref="V30:W30"/>
    <mergeCell ref="X40:AX40"/>
    <mergeCell ref="X41:AX41"/>
    <mergeCell ref="X38:AX38"/>
    <mergeCell ref="X39:AX39"/>
    <mergeCell ref="V35:W35"/>
    <mergeCell ref="V29:W29"/>
    <mergeCell ref="L33:U33"/>
    <mergeCell ref="L29:U29"/>
    <mergeCell ref="L30:U30"/>
    <mergeCell ref="X32:AX32"/>
    <mergeCell ref="X33:AX33"/>
    <mergeCell ref="L36:U36"/>
    <mergeCell ref="L37:U37"/>
    <mergeCell ref="L38:U38"/>
    <mergeCell ref="V33:W33"/>
    <mergeCell ref="V34:W34"/>
    <mergeCell ref="V38:W38"/>
    <mergeCell ref="V39:W39"/>
    <mergeCell ref="L39:U39"/>
    <mergeCell ref="L40:U40"/>
    <mergeCell ref="L41:U41"/>
    <mergeCell ref="X29:AX29"/>
    <mergeCell ref="X30:AX30"/>
    <mergeCell ref="X37:AX37"/>
    <mergeCell ref="L52:U52"/>
    <mergeCell ref="X52:AX52"/>
    <mergeCell ref="B47:K47"/>
    <mergeCell ref="B48:K48"/>
    <mergeCell ref="V52:W52"/>
    <mergeCell ref="B52:K52"/>
    <mergeCell ref="X49:AX49"/>
    <mergeCell ref="X50:AX50"/>
    <mergeCell ref="X51:AX51"/>
    <mergeCell ref="B49:K49"/>
    <mergeCell ref="B50:K50"/>
    <mergeCell ref="B51:K51"/>
    <mergeCell ref="V51:W51"/>
    <mergeCell ref="L51:U51"/>
    <mergeCell ref="L50:U50"/>
    <mergeCell ref="L47:U47"/>
    <mergeCell ref="L48:U48"/>
    <mergeCell ref="L49:U49"/>
    <mergeCell ref="V49:W49"/>
    <mergeCell ref="X47:AX47"/>
    <mergeCell ref="X48:AX48"/>
    <mergeCell ref="V50:W50"/>
    <mergeCell ref="AO1:AR1"/>
    <mergeCell ref="AO2:AR2"/>
    <mergeCell ref="AX1:BA1"/>
    <mergeCell ref="BB1:BF1"/>
    <mergeCell ref="AX2:BA2"/>
    <mergeCell ref="BB2:BF2"/>
    <mergeCell ref="AS1:AW1"/>
    <mergeCell ref="AS2:AW2"/>
    <mergeCell ref="G1:X1"/>
    <mergeCell ref="Y1:AD1"/>
    <mergeCell ref="AE1:AN1"/>
    <mergeCell ref="G2:X2"/>
    <mergeCell ref="Y2:AD2"/>
    <mergeCell ref="AE2:AN2"/>
  </mergeCells>
  <phoneticPr fontId="1"/>
  <pageMargins left="0.59055118110236227" right="0.39370078740157483" top="0.59055118110236227" bottom="0.59055118110236227" header="0.39370078740157483" footer="0.39370078740157483"/>
  <pageSetup paperSize="9" orientation="landscape" horizontalDpi="0" verticalDpi="0"/>
  <headerFooter alignWithMargins="0">
    <oddFooter>&amp;C&amp;8- &amp;P-1 -&amp;R&amp;"明朝,標準"&amp;8Copyright © 2007 sample Corporation. All Rights Reserved.</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F54"/>
  <sheetViews>
    <sheetView workbookViewId="0">
      <pane ySplit="5" topLeftCell="A6" activePane="bottomLeft" state="frozen"/>
      <selection sqref="A1:XFD2"/>
      <selection pane="bottomLeft" activeCell="B16" sqref="B16:K16"/>
    </sheetView>
  </sheetViews>
  <sheetFormatPr baseColWidth="10" defaultColWidth="2.6640625" defaultRowHeight="14"/>
  <cols>
    <col min="1" max="1" width="3.5" style="1" bestFit="1" customWidth="1"/>
    <col min="2" max="16384" width="2.6640625" style="1"/>
  </cols>
  <sheetData>
    <row r="1" spans="1:58">
      <c r="A1" s="60" t="s">
        <v>27</v>
      </c>
      <c r="B1" s="60"/>
      <c r="C1" s="60"/>
      <c r="D1" s="60"/>
      <c r="E1" s="60"/>
      <c r="F1" s="60"/>
      <c r="G1" s="67" t="str">
        <f ca="1">IF(ISBLANK(改訂履歴!G1),"",(改訂履歴!G1))</f>
        <v>DOC00001_詳細設計書_MIPG00001_テトリス_VBA</v>
      </c>
      <c r="H1" s="67"/>
      <c r="I1" s="67"/>
      <c r="J1" s="67"/>
      <c r="K1" s="67"/>
      <c r="L1" s="67"/>
      <c r="M1" s="67"/>
      <c r="N1" s="67"/>
      <c r="O1" s="67"/>
      <c r="P1" s="67"/>
      <c r="Q1" s="67"/>
      <c r="R1" s="67"/>
      <c r="S1" s="67"/>
      <c r="T1" s="67"/>
      <c r="U1" s="67"/>
      <c r="V1" s="67"/>
      <c r="W1" s="67"/>
      <c r="X1" s="67"/>
      <c r="Y1" s="60" t="s">
        <v>28</v>
      </c>
      <c r="Z1" s="60"/>
      <c r="AA1" s="60"/>
      <c r="AB1" s="60"/>
      <c r="AC1" s="60"/>
      <c r="AD1" s="60"/>
      <c r="AE1" s="67" t="str">
        <f ca="1">IF(ISBLANK(改訂履歴!$AE$1),"",(改訂履歴!$AE$1))</f>
        <v>DOC00001</v>
      </c>
      <c r="AF1" s="67"/>
      <c r="AG1" s="67"/>
      <c r="AH1" s="67"/>
      <c r="AI1" s="67"/>
      <c r="AJ1" s="67"/>
      <c r="AK1" s="67"/>
      <c r="AL1" s="67"/>
      <c r="AM1" s="67"/>
      <c r="AN1" s="67"/>
      <c r="AO1" s="60" t="s">
        <v>30</v>
      </c>
      <c r="AP1" s="60"/>
      <c r="AQ1" s="60"/>
      <c r="AR1" s="60"/>
      <c r="AS1" s="61" t="str">
        <f>IF(ISBLANK(改訂履歴!AS1),"",(改訂履歴!AS1))</f>
        <v>第1版</v>
      </c>
      <c r="AT1" s="62"/>
      <c r="AU1" s="62"/>
      <c r="AV1" s="62"/>
      <c r="AW1" s="63"/>
      <c r="AX1" s="60" t="s">
        <v>32</v>
      </c>
      <c r="AY1" s="60"/>
      <c r="AZ1" s="60"/>
      <c r="BA1" s="60"/>
      <c r="BB1" s="71" t="str">
        <f ca="1">IF(ISBLANK(改訂履歴!BB1),"",(改訂履歴!BB1))</f>
        <v>水谷</v>
      </c>
      <c r="BC1" s="72"/>
      <c r="BD1" s="72"/>
      <c r="BE1" s="72"/>
      <c r="BF1" s="73"/>
    </row>
    <row r="2" spans="1:58">
      <c r="A2" s="60" t="s">
        <v>0</v>
      </c>
      <c r="B2" s="60"/>
      <c r="C2" s="60"/>
      <c r="D2" s="60"/>
      <c r="E2" s="60"/>
      <c r="F2" s="60"/>
      <c r="G2" s="67" t="str">
        <f ca="1">IF(ISBLANK(改訂履歴!G2),"",(改訂履歴!G2))</f>
        <v>テトリス_VBA</v>
      </c>
      <c r="H2" s="67"/>
      <c r="I2" s="67"/>
      <c r="J2" s="67"/>
      <c r="K2" s="67"/>
      <c r="L2" s="67"/>
      <c r="M2" s="67"/>
      <c r="N2" s="67"/>
      <c r="O2" s="67"/>
      <c r="P2" s="67"/>
      <c r="Q2" s="67"/>
      <c r="R2" s="67"/>
      <c r="S2" s="67"/>
      <c r="T2" s="67"/>
      <c r="U2" s="67"/>
      <c r="V2" s="67"/>
      <c r="W2" s="67"/>
      <c r="X2" s="67"/>
      <c r="Y2" s="60" t="s">
        <v>4</v>
      </c>
      <c r="Z2" s="60"/>
      <c r="AA2" s="60"/>
      <c r="AB2" s="60"/>
      <c r="AC2" s="60"/>
      <c r="AD2" s="60"/>
      <c r="AE2" s="67" t="str">
        <f ca="1">IF(ISBLANK(改訂履歴!$AE$2),"",(改訂履歴!$AE$2))</f>
        <v>MIPG00001</v>
      </c>
      <c r="AF2" s="67"/>
      <c r="AG2" s="67"/>
      <c r="AH2" s="67"/>
      <c r="AI2" s="67"/>
      <c r="AJ2" s="67"/>
      <c r="AK2" s="67"/>
      <c r="AL2" s="67"/>
      <c r="AM2" s="67"/>
      <c r="AN2" s="67"/>
      <c r="AO2" s="60" t="s">
        <v>31</v>
      </c>
      <c r="AP2" s="60"/>
      <c r="AQ2" s="60"/>
      <c r="AR2" s="60"/>
      <c r="AS2" s="64">
        <f>IF(ISBLANK(改訂履歴!AS2),"",(改訂履歴!AS2))</f>
        <v>44871</v>
      </c>
      <c r="AT2" s="65"/>
      <c r="AU2" s="65"/>
      <c r="AV2" s="65"/>
      <c r="AW2" s="66"/>
      <c r="AX2" s="60" t="s">
        <v>33</v>
      </c>
      <c r="AY2" s="60"/>
      <c r="AZ2" s="60"/>
      <c r="BA2" s="60"/>
      <c r="BB2" s="64">
        <f ca="1">IF(ISBLANK(改訂履歴!BB2),"",(改訂履歴!BB2))</f>
        <v>44871</v>
      </c>
      <c r="BC2" s="65"/>
      <c r="BD2" s="65"/>
      <c r="BE2" s="65"/>
      <c r="BF2" s="66"/>
    </row>
    <row r="3" spans="1:58">
      <c r="B3" s="2"/>
    </row>
    <row r="4" spans="1:58">
      <c r="A4" s="3" t="s">
        <v>12</v>
      </c>
      <c r="B4" s="4"/>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4"/>
      <c r="AX4" s="4"/>
      <c r="AY4" s="4"/>
      <c r="AZ4" s="4"/>
      <c r="BA4" s="4"/>
      <c r="BB4" s="4"/>
      <c r="BC4" s="4"/>
      <c r="BD4" s="4"/>
      <c r="BE4" s="4"/>
      <c r="BF4" s="4"/>
    </row>
    <row r="5" spans="1:58">
      <c r="A5" s="24" t="s">
        <v>11</v>
      </c>
      <c r="B5" s="82" t="s">
        <v>13</v>
      </c>
      <c r="C5" s="83"/>
      <c r="D5" s="83"/>
      <c r="E5" s="83"/>
      <c r="F5" s="83"/>
      <c r="G5" s="83"/>
      <c r="H5" s="83"/>
      <c r="I5" s="83"/>
      <c r="J5" s="83"/>
      <c r="K5" s="84"/>
      <c r="L5" s="82" t="s">
        <v>14</v>
      </c>
      <c r="M5" s="83"/>
      <c r="N5" s="83"/>
      <c r="O5" s="83"/>
      <c r="P5" s="84"/>
      <c r="Q5" s="82" t="s">
        <v>19</v>
      </c>
      <c r="R5" s="84"/>
      <c r="S5" s="82" t="s">
        <v>15</v>
      </c>
      <c r="T5" s="84"/>
      <c r="U5" s="82" t="s">
        <v>16</v>
      </c>
      <c r="V5" s="83"/>
      <c r="W5" s="83"/>
      <c r="X5" s="83"/>
      <c r="Y5" s="83"/>
      <c r="Z5" s="83"/>
      <c r="AA5" s="84"/>
      <c r="AB5" s="82" t="s">
        <v>17</v>
      </c>
      <c r="AC5" s="83"/>
      <c r="AD5" s="83"/>
      <c r="AE5" s="83"/>
      <c r="AF5" s="83"/>
      <c r="AG5" s="83"/>
      <c r="AH5" s="83"/>
      <c r="AI5" s="84"/>
      <c r="AJ5" s="82" t="s">
        <v>18</v>
      </c>
      <c r="AK5" s="83"/>
      <c r="AL5" s="83"/>
      <c r="AM5" s="83"/>
      <c r="AN5" s="83"/>
      <c r="AO5" s="83"/>
      <c r="AP5" s="83"/>
      <c r="AQ5" s="84"/>
      <c r="AR5" s="87" t="s">
        <v>1</v>
      </c>
      <c r="AS5" s="88"/>
      <c r="AT5" s="88"/>
      <c r="AU5" s="88"/>
      <c r="AV5" s="88"/>
      <c r="AW5" s="88"/>
      <c r="AX5" s="88"/>
      <c r="AY5" s="88"/>
      <c r="AZ5" s="88"/>
      <c r="BA5" s="88"/>
      <c r="BB5" s="88"/>
      <c r="BC5" s="88"/>
      <c r="BD5" s="88"/>
      <c r="BE5" s="88"/>
      <c r="BF5" s="88"/>
    </row>
    <row r="6" spans="1:58">
      <c r="A6" s="25">
        <f>ROW()-5</f>
        <v>1</v>
      </c>
      <c r="B6" s="86" t="s">
        <v>55</v>
      </c>
      <c r="C6" s="86"/>
      <c r="D6" s="86"/>
      <c r="E6" s="86"/>
      <c r="F6" s="86"/>
      <c r="G6" s="86"/>
      <c r="H6" s="86"/>
      <c r="I6" s="86"/>
      <c r="J6" s="86"/>
      <c r="K6" s="86"/>
      <c r="L6" s="86" t="s">
        <v>56</v>
      </c>
      <c r="M6" s="86"/>
      <c r="N6" s="86"/>
      <c r="O6" s="86"/>
      <c r="P6" s="86"/>
      <c r="Q6" s="85" t="s">
        <v>57</v>
      </c>
      <c r="R6" s="85"/>
      <c r="S6" s="86" t="s">
        <v>58</v>
      </c>
      <c r="T6" s="86"/>
      <c r="U6" s="86"/>
      <c r="V6" s="86"/>
      <c r="W6" s="86"/>
      <c r="X6" s="86"/>
      <c r="Y6" s="86"/>
      <c r="Z6" s="86"/>
      <c r="AA6" s="86"/>
      <c r="AB6" s="86"/>
      <c r="AC6" s="86"/>
      <c r="AD6" s="86"/>
      <c r="AE6" s="86"/>
      <c r="AF6" s="86"/>
      <c r="AG6" s="86"/>
      <c r="AH6" s="86"/>
      <c r="AI6" s="86"/>
      <c r="AJ6" s="86" t="s">
        <v>60</v>
      </c>
      <c r="AK6" s="86"/>
      <c r="AL6" s="86"/>
      <c r="AM6" s="86"/>
      <c r="AN6" s="86"/>
      <c r="AO6" s="86"/>
      <c r="AP6" s="86"/>
      <c r="AQ6" s="86"/>
      <c r="AR6" s="85"/>
      <c r="AS6" s="85"/>
      <c r="AT6" s="85"/>
      <c r="AU6" s="85"/>
      <c r="AV6" s="85"/>
      <c r="AW6" s="85"/>
      <c r="AX6" s="85"/>
      <c r="AY6" s="85"/>
      <c r="AZ6" s="85"/>
      <c r="BA6" s="85"/>
      <c r="BB6" s="85"/>
      <c r="BC6" s="85"/>
      <c r="BD6" s="85"/>
      <c r="BE6" s="85"/>
      <c r="BF6" s="85"/>
    </row>
    <row r="7" spans="1:58">
      <c r="A7" s="25">
        <f t="shared" ref="A7:A54" si="0">ROW()-5</f>
        <v>2</v>
      </c>
      <c r="B7" s="86" t="s">
        <v>59</v>
      </c>
      <c r="C7" s="86"/>
      <c r="D7" s="86"/>
      <c r="E7" s="86"/>
      <c r="F7" s="86"/>
      <c r="G7" s="86"/>
      <c r="H7" s="86"/>
      <c r="I7" s="86"/>
      <c r="J7" s="86"/>
      <c r="K7" s="86"/>
      <c r="L7" s="86" t="s">
        <v>56</v>
      </c>
      <c r="M7" s="86"/>
      <c r="N7" s="86"/>
      <c r="O7" s="86"/>
      <c r="P7" s="86"/>
      <c r="Q7" s="85" t="s">
        <v>57</v>
      </c>
      <c r="R7" s="85"/>
      <c r="S7" s="86" t="s">
        <v>58</v>
      </c>
      <c r="T7" s="86"/>
      <c r="U7" s="86"/>
      <c r="V7" s="86"/>
      <c r="W7" s="86"/>
      <c r="X7" s="86"/>
      <c r="Y7" s="86"/>
      <c r="Z7" s="86"/>
      <c r="AA7" s="86"/>
      <c r="AB7" s="86"/>
      <c r="AC7" s="86"/>
      <c r="AD7" s="86"/>
      <c r="AE7" s="86"/>
      <c r="AF7" s="86"/>
      <c r="AG7" s="86"/>
      <c r="AH7" s="86"/>
      <c r="AI7" s="86"/>
      <c r="AJ7" s="86"/>
      <c r="AK7" s="86"/>
      <c r="AL7" s="86"/>
      <c r="AM7" s="86"/>
      <c r="AN7" s="86"/>
      <c r="AO7" s="86"/>
      <c r="AP7" s="86"/>
      <c r="AQ7" s="86"/>
      <c r="AR7" s="85"/>
      <c r="AS7" s="85"/>
      <c r="AT7" s="85"/>
      <c r="AU7" s="85"/>
      <c r="AV7" s="85"/>
      <c r="AW7" s="85"/>
      <c r="AX7" s="85"/>
      <c r="AY7" s="85"/>
      <c r="AZ7" s="85"/>
      <c r="BA7" s="85"/>
      <c r="BB7" s="85"/>
      <c r="BC7" s="85"/>
      <c r="BD7" s="85"/>
      <c r="BE7" s="85"/>
      <c r="BF7" s="85"/>
    </row>
    <row r="8" spans="1:58">
      <c r="A8" s="25">
        <f t="shared" si="0"/>
        <v>3</v>
      </c>
      <c r="B8" s="86" t="s">
        <v>61</v>
      </c>
      <c r="C8" s="86"/>
      <c r="D8" s="86"/>
      <c r="E8" s="86"/>
      <c r="F8" s="86"/>
      <c r="G8" s="86"/>
      <c r="H8" s="86"/>
      <c r="I8" s="86"/>
      <c r="J8" s="86"/>
      <c r="K8" s="86"/>
      <c r="L8" s="86" t="s">
        <v>56</v>
      </c>
      <c r="M8" s="86"/>
      <c r="N8" s="86"/>
      <c r="O8" s="86"/>
      <c r="P8" s="86"/>
      <c r="Q8" s="85" t="s">
        <v>57</v>
      </c>
      <c r="R8" s="85"/>
      <c r="S8" s="86"/>
      <c r="T8" s="86"/>
      <c r="U8" s="86"/>
      <c r="V8" s="86"/>
      <c r="W8" s="86"/>
      <c r="X8" s="86"/>
      <c r="Y8" s="86"/>
      <c r="Z8" s="86"/>
      <c r="AA8" s="86"/>
      <c r="AB8" s="86"/>
      <c r="AC8" s="86"/>
      <c r="AD8" s="86"/>
      <c r="AE8" s="86"/>
      <c r="AF8" s="86"/>
      <c r="AG8" s="86"/>
      <c r="AH8" s="86"/>
      <c r="AI8" s="86"/>
      <c r="AJ8" s="77"/>
      <c r="AK8" s="78"/>
      <c r="AL8" s="78"/>
      <c r="AM8" s="78"/>
      <c r="AN8" s="78"/>
      <c r="AO8" s="78"/>
      <c r="AP8" s="78"/>
      <c r="AQ8" s="79"/>
      <c r="AR8" s="85"/>
      <c r="AS8" s="85"/>
      <c r="AT8" s="85"/>
      <c r="AU8" s="85"/>
      <c r="AV8" s="85"/>
      <c r="AW8" s="85"/>
      <c r="AX8" s="85"/>
      <c r="AY8" s="85"/>
      <c r="AZ8" s="85"/>
      <c r="BA8" s="85"/>
      <c r="BB8" s="85"/>
      <c r="BC8" s="85"/>
      <c r="BD8" s="85"/>
      <c r="BE8" s="85"/>
      <c r="BF8" s="85"/>
    </row>
    <row r="9" spans="1:58">
      <c r="A9" s="25">
        <f>ROW()-5</f>
        <v>4</v>
      </c>
      <c r="B9" s="86" t="s">
        <v>69</v>
      </c>
      <c r="C9" s="86"/>
      <c r="D9" s="86"/>
      <c r="E9" s="86"/>
      <c r="F9" s="86"/>
      <c r="G9" s="86"/>
      <c r="H9" s="86"/>
      <c r="I9" s="86"/>
      <c r="J9" s="86"/>
      <c r="K9" s="86"/>
      <c r="L9" s="86" t="s">
        <v>62</v>
      </c>
      <c r="M9" s="86"/>
      <c r="N9" s="86"/>
      <c r="O9" s="86"/>
      <c r="P9" s="86"/>
      <c r="Q9" s="85" t="s">
        <v>57</v>
      </c>
      <c r="R9" s="85"/>
      <c r="S9" s="86"/>
      <c r="T9" s="86"/>
      <c r="U9" s="86"/>
      <c r="V9" s="86"/>
      <c r="W9" s="86"/>
      <c r="X9" s="86"/>
      <c r="Y9" s="86"/>
      <c r="Z9" s="86"/>
      <c r="AA9" s="86"/>
      <c r="AB9" s="86"/>
      <c r="AC9" s="86"/>
      <c r="AD9" s="86"/>
      <c r="AE9" s="86"/>
      <c r="AF9" s="86"/>
      <c r="AG9" s="86"/>
      <c r="AH9" s="86"/>
      <c r="AI9" s="86"/>
      <c r="AJ9" s="77"/>
      <c r="AK9" s="78"/>
      <c r="AL9" s="78"/>
      <c r="AM9" s="78"/>
      <c r="AN9" s="78"/>
      <c r="AO9" s="78"/>
      <c r="AP9" s="78"/>
      <c r="AQ9" s="79"/>
      <c r="AR9" s="85"/>
      <c r="AS9" s="85"/>
      <c r="AT9" s="85"/>
      <c r="AU9" s="85"/>
      <c r="AV9" s="85"/>
      <c r="AW9" s="85"/>
      <c r="AX9" s="85"/>
      <c r="AY9" s="85"/>
      <c r="AZ9" s="85"/>
      <c r="BA9" s="85"/>
      <c r="BB9" s="85"/>
      <c r="BC9" s="85"/>
      <c r="BD9" s="85"/>
      <c r="BE9" s="85"/>
      <c r="BF9" s="85"/>
    </row>
    <row r="10" spans="1:58">
      <c r="A10" s="25">
        <f t="shared" si="0"/>
        <v>5</v>
      </c>
      <c r="B10" s="86" t="s">
        <v>63</v>
      </c>
      <c r="C10" s="86"/>
      <c r="D10" s="86"/>
      <c r="E10" s="86"/>
      <c r="F10" s="86"/>
      <c r="G10" s="86"/>
      <c r="H10" s="86"/>
      <c r="I10" s="86"/>
      <c r="J10" s="86"/>
      <c r="K10" s="86"/>
      <c r="L10" s="86" t="s">
        <v>56</v>
      </c>
      <c r="M10" s="86"/>
      <c r="N10" s="86"/>
      <c r="O10" s="86"/>
      <c r="P10" s="86"/>
      <c r="Q10" s="85" t="s">
        <v>57</v>
      </c>
      <c r="R10" s="85"/>
      <c r="S10" s="86"/>
      <c r="T10" s="86"/>
      <c r="U10" s="86"/>
      <c r="V10" s="86"/>
      <c r="W10" s="86"/>
      <c r="X10" s="86"/>
      <c r="Y10" s="86"/>
      <c r="Z10" s="86"/>
      <c r="AA10" s="86"/>
      <c r="AB10" s="86"/>
      <c r="AC10" s="86"/>
      <c r="AD10" s="86"/>
      <c r="AE10" s="86"/>
      <c r="AF10" s="86"/>
      <c r="AG10" s="86"/>
      <c r="AH10" s="86"/>
      <c r="AI10" s="86"/>
      <c r="AJ10" s="77"/>
      <c r="AK10" s="78"/>
      <c r="AL10" s="78"/>
      <c r="AM10" s="78"/>
      <c r="AN10" s="78"/>
      <c r="AO10" s="78"/>
      <c r="AP10" s="78"/>
      <c r="AQ10" s="79"/>
      <c r="AR10" s="85"/>
      <c r="AS10" s="85"/>
      <c r="AT10" s="85"/>
      <c r="AU10" s="85"/>
      <c r="AV10" s="85"/>
      <c r="AW10" s="85"/>
      <c r="AX10" s="85"/>
      <c r="AY10" s="85"/>
      <c r="AZ10" s="85"/>
      <c r="BA10" s="85"/>
      <c r="BB10" s="85"/>
      <c r="BC10" s="85"/>
      <c r="BD10" s="85"/>
      <c r="BE10" s="85"/>
      <c r="BF10" s="85"/>
    </row>
    <row r="11" spans="1:58">
      <c r="A11" s="25">
        <f t="shared" si="0"/>
        <v>6</v>
      </c>
      <c r="B11" s="86" t="s">
        <v>64</v>
      </c>
      <c r="C11" s="86"/>
      <c r="D11" s="86"/>
      <c r="E11" s="86"/>
      <c r="F11" s="86"/>
      <c r="G11" s="86"/>
      <c r="H11" s="86"/>
      <c r="I11" s="86"/>
      <c r="J11" s="86"/>
      <c r="K11" s="86"/>
      <c r="L11" s="86" t="s">
        <v>66</v>
      </c>
      <c r="M11" s="86"/>
      <c r="N11" s="86"/>
      <c r="O11" s="86"/>
      <c r="P11" s="86"/>
      <c r="Q11" s="85" t="s">
        <v>57</v>
      </c>
      <c r="R11" s="85"/>
      <c r="S11" s="86"/>
      <c r="T11" s="86"/>
      <c r="U11" s="86" t="s">
        <v>65</v>
      </c>
      <c r="V11" s="86"/>
      <c r="W11" s="86"/>
      <c r="X11" s="86"/>
      <c r="Y11" s="86"/>
      <c r="Z11" s="86"/>
      <c r="AA11" s="86"/>
      <c r="AB11" s="86"/>
      <c r="AC11" s="86"/>
      <c r="AD11" s="86"/>
      <c r="AE11" s="86"/>
      <c r="AF11" s="86"/>
      <c r="AG11" s="86"/>
      <c r="AH11" s="86"/>
      <c r="AI11" s="86"/>
      <c r="AJ11" s="77"/>
      <c r="AK11" s="78"/>
      <c r="AL11" s="78"/>
      <c r="AM11" s="78"/>
      <c r="AN11" s="78"/>
      <c r="AO11" s="78"/>
      <c r="AP11" s="78"/>
      <c r="AQ11" s="79"/>
      <c r="AR11" s="89" t="s">
        <v>76</v>
      </c>
      <c r="AS11" s="89"/>
      <c r="AT11" s="89"/>
      <c r="AU11" s="89"/>
      <c r="AV11" s="89"/>
      <c r="AW11" s="89"/>
      <c r="AX11" s="89"/>
      <c r="AY11" s="89"/>
      <c r="AZ11" s="89"/>
      <c r="BA11" s="89"/>
      <c r="BB11" s="89"/>
      <c r="BC11" s="89"/>
      <c r="BD11" s="89"/>
      <c r="BE11" s="89"/>
      <c r="BF11" s="89"/>
    </row>
    <row r="12" spans="1:58">
      <c r="A12" s="25">
        <f t="shared" si="0"/>
        <v>7</v>
      </c>
      <c r="B12" s="86"/>
      <c r="C12" s="86"/>
      <c r="D12" s="86"/>
      <c r="E12" s="86"/>
      <c r="F12" s="86"/>
      <c r="G12" s="86"/>
      <c r="H12" s="86"/>
      <c r="I12" s="86"/>
      <c r="J12" s="86"/>
      <c r="K12" s="86"/>
      <c r="L12" s="86"/>
      <c r="M12" s="86"/>
      <c r="N12" s="86"/>
      <c r="O12" s="86"/>
      <c r="P12" s="86"/>
      <c r="Q12" s="85"/>
      <c r="R12" s="85"/>
      <c r="S12" s="86"/>
      <c r="T12" s="86"/>
      <c r="U12" s="86"/>
      <c r="V12" s="86"/>
      <c r="W12" s="86"/>
      <c r="X12" s="86"/>
      <c r="Y12" s="86"/>
      <c r="Z12" s="86"/>
      <c r="AA12" s="86"/>
      <c r="AB12" s="86"/>
      <c r="AC12" s="86"/>
      <c r="AD12" s="86"/>
      <c r="AE12" s="86"/>
      <c r="AF12" s="86"/>
      <c r="AG12" s="86"/>
      <c r="AH12" s="86"/>
      <c r="AI12" s="86"/>
      <c r="AJ12" s="77"/>
      <c r="AK12" s="78"/>
      <c r="AL12" s="78"/>
      <c r="AM12" s="78"/>
      <c r="AN12" s="78"/>
      <c r="AO12" s="78"/>
      <c r="AP12" s="78"/>
      <c r="AQ12" s="79"/>
      <c r="AR12" s="85"/>
      <c r="AS12" s="85"/>
      <c r="AT12" s="85"/>
      <c r="AU12" s="85"/>
      <c r="AV12" s="85"/>
      <c r="AW12" s="85"/>
      <c r="AX12" s="85"/>
      <c r="AY12" s="85"/>
      <c r="AZ12" s="85"/>
      <c r="BA12" s="85"/>
      <c r="BB12" s="85"/>
      <c r="BC12" s="85"/>
      <c r="BD12" s="85"/>
      <c r="BE12" s="85"/>
      <c r="BF12" s="85"/>
    </row>
    <row r="13" spans="1:58">
      <c r="A13" s="25">
        <f t="shared" si="0"/>
        <v>8</v>
      </c>
      <c r="B13" s="86"/>
      <c r="C13" s="86"/>
      <c r="D13" s="86"/>
      <c r="E13" s="86"/>
      <c r="F13" s="86"/>
      <c r="G13" s="86"/>
      <c r="H13" s="86"/>
      <c r="I13" s="86"/>
      <c r="J13" s="86"/>
      <c r="K13" s="86"/>
      <c r="L13" s="86"/>
      <c r="M13" s="86"/>
      <c r="N13" s="86"/>
      <c r="O13" s="86"/>
      <c r="P13" s="86"/>
      <c r="Q13" s="85"/>
      <c r="R13" s="85"/>
      <c r="S13" s="86"/>
      <c r="T13" s="86"/>
      <c r="U13" s="86"/>
      <c r="V13" s="86"/>
      <c r="W13" s="86"/>
      <c r="X13" s="86"/>
      <c r="Y13" s="86"/>
      <c r="Z13" s="86"/>
      <c r="AA13" s="86"/>
      <c r="AB13" s="86"/>
      <c r="AC13" s="86"/>
      <c r="AD13" s="86"/>
      <c r="AE13" s="86"/>
      <c r="AF13" s="86"/>
      <c r="AG13" s="86"/>
      <c r="AH13" s="86"/>
      <c r="AI13" s="86"/>
      <c r="AJ13" s="77"/>
      <c r="AK13" s="78"/>
      <c r="AL13" s="78"/>
      <c r="AM13" s="78"/>
      <c r="AN13" s="78"/>
      <c r="AO13" s="78"/>
      <c r="AP13" s="78"/>
      <c r="AQ13" s="79"/>
      <c r="AR13" s="85"/>
      <c r="AS13" s="85"/>
      <c r="AT13" s="85"/>
      <c r="AU13" s="85"/>
      <c r="AV13" s="85"/>
      <c r="AW13" s="85"/>
      <c r="AX13" s="85"/>
      <c r="AY13" s="85"/>
      <c r="AZ13" s="85"/>
      <c r="BA13" s="85"/>
      <c r="BB13" s="85"/>
      <c r="BC13" s="85"/>
      <c r="BD13" s="85"/>
      <c r="BE13" s="85"/>
      <c r="BF13" s="85"/>
    </row>
    <row r="14" spans="1:58">
      <c r="A14" s="25">
        <f t="shared" si="0"/>
        <v>9</v>
      </c>
      <c r="B14" s="86"/>
      <c r="C14" s="86"/>
      <c r="D14" s="86"/>
      <c r="E14" s="86"/>
      <c r="F14" s="86"/>
      <c r="G14" s="86"/>
      <c r="H14" s="86"/>
      <c r="I14" s="86"/>
      <c r="J14" s="86"/>
      <c r="K14" s="86"/>
      <c r="L14" s="86"/>
      <c r="M14" s="86"/>
      <c r="N14" s="86"/>
      <c r="O14" s="86"/>
      <c r="P14" s="86"/>
      <c r="Q14" s="85"/>
      <c r="R14" s="85"/>
      <c r="S14" s="86"/>
      <c r="T14" s="86"/>
      <c r="U14" s="86"/>
      <c r="V14" s="86"/>
      <c r="W14" s="86"/>
      <c r="X14" s="86"/>
      <c r="Y14" s="86"/>
      <c r="Z14" s="86"/>
      <c r="AA14" s="86"/>
      <c r="AB14" s="86"/>
      <c r="AC14" s="86"/>
      <c r="AD14" s="86"/>
      <c r="AE14" s="86"/>
      <c r="AF14" s="86"/>
      <c r="AG14" s="86"/>
      <c r="AH14" s="86"/>
      <c r="AI14" s="86"/>
      <c r="AJ14" s="77"/>
      <c r="AK14" s="78"/>
      <c r="AL14" s="78"/>
      <c r="AM14" s="78"/>
      <c r="AN14" s="78"/>
      <c r="AO14" s="78"/>
      <c r="AP14" s="78"/>
      <c r="AQ14" s="79"/>
      <c r="AR14" s="85"/>
      <c r="AS14" s="85"/>
      <c r="AT14" s="85"/>
      <c r="AU14" s="85"/>
      <c r="AV14" s="85"/>
      <c r="AW14" s="85"/>
      <c r="AX14" s="85"/>
      <c r="AY14" s="85"/>
      <c r="AZ14" s="85"/>
      <c r="BA14" s="85"/>
      <c r="BB14" s="85"/>
      <c r="BC14" s="85"/>
      <c r="BD14" s="85"/>
      <c r="BE14" s="85"/>
      <c r="BF14" s="85"/>
    </row>
    <row r="15" spans="1:58">
      <c r="A15" s="25">
        <f t="shared" si="0"/>
        <v>10</v>
      </c>
      <c r="B15" s="86"/>
      <c r="C15" s="86"/>
      <c r="D15" s="86"/>
      <c r="E15" s="86"/>
      <c r="F15" s="86"/>
      <c r="G15" s="86"/>
      <c r="H15" s="86"/>
      <c r="I15" s="86"/>
      <c r="J15" s="86"/>
      <c r="K15" s="86"/>
      <c r="L15" s="86"/>
      <c r="M15" s="86"/>
      <c r="N15" s="86"/>
      <c r="O15" s="86"/>
      <c r="P15" s="86"/>
      <c r="Q15" s="85"/>
      <c r="R15" s="85"/>
      <c r="S15" s="86"/>
      <c r="T15" s="86"/>
      <c r="U15" s="86"/>
      <c r="V15" s="86"/>
      <c r="W15" s="86"/>
      <c r="X15" s="86"/>
      <c r="Y15" s="86"/>
      <c r="Z15" s="86"/>
      <c r="AA15" s="86"/>
      <c r="AB15" s="86"/>
      <c r="AC15" s="86"/>
      <c r="AD15" s="86"/>
      <c r="AE15" s="86"/>
      <c r="AF15" s="86"/>
      <c r="AG15" s="86"/>
      <c r="AH15" s="86"/>
      <c r="AI15" s="86"/>
      <c r="AJ15" s="77"/>
      <c r="AK15" s="78"/>
      <c r="AL15" s="78"/>
      <c r="AM15" s="78"/>
      <c r="AN15" s="78"/>
      <c r="AO15" s="78"/>
      <c r="AP15" s="78"/>
      <c r="AQ15" s="79"/>
      <c r="AR15" s="85"/>
      <c r="AS15" s="85"/>
      <c r="AT15" s="85"/>
      <c r="AU15" s="85"/>
      <c r="AV15" s="85"/>
      <c r="AW15" s="85"/>
      <c r="AX15" s="85"/>
      <c r="AY15" s="85"/>
      <c r="AZ15" s="85"/>
      <c r="BA15" s="85"/>
      <c r="BB15" s="85"/>
      <c r="BC15" s="85"/>
      <c r="BD15" s="85"/>
      <c r="BE15" s="85"/>
      <c r="BF15" s="85"/>
    </row>
    <row r="16" spans="1:58">
      <c r="A16" s="25">
        <f t="shared" si="0"/>
        <v>11</v>
      </c>
      <c r="B16" s="86"/>
      <c r="C16" s="86"/>
      <c r="D16" s="86"/>
      <c r="E16" s="86"/>
      <c r="F16" s="86"/>
      <c r="G16" s="86"/>
      <c r="H16" s="86"/>
      <c r="I16" s="86"/>
      <c r="J16" s="86"/>
      <c r="K16" s="86"/>
      <c r="L16" s="86"/>
      <c r="M16" s="86"/>
      <c r="N16" s="86"/>
      <c r="O16" s="86"/>
      <c r="P16" s="86"/>
      <c r="Q16" s="85"/>
      <c r="R16" s="85"/>
      <c r="S16" s="86"/>
      <c r="T16" s="86"/>
      <c r="U16" s="86"/>
      <c r="V16" s="86"/>
      <c r="W16" s="86"/>
      <c r="X16" s="86"/>
      <c r="Y16" s="86"/>
      <c r="Z16" s="86"/>
      <c r="AA16" s="86"/>
      <c r="AB16" s="86"/>
      <c r="AC16" s="86"/>
      <c r="AD16" s="86"/>
      <c r="AE16" s="86"/>
      <c r="AF16" s="86"/>
      <c r="AG16" s="86"/>
      <c r="AH16" s="86"/>
      <c r="AI16" s="86"/>
      <c r="AJ16" s="77"/>
      <c r="AK16" s="78"/>
      <c r="AL16" s="78"/>
      <c r="AM16" s="78"/>
      <c r="AN16" s="78"/>
      <c r="AO16" s="78"/>
      <c r="AP16" s="78"/>
      <c r="AQ16" s="79"/>
      <c r="AR16" s="85"/>
      <c r="AS16" s="85"/>
      <c r="AT16" s="85"/>
      <c r="AU16" s="85"/>
      <c r="AV16" s="85"/>
      <c r="AW16" s="85"/>
      <c r="AX16" s="85"/>
      <c r="AY16" s="85"/>
      <c r="AZ16" s="85"/>
      <c r="BA16" s="85"/>
      <c r="BB16" s="85"/>
      <c r="BC16" s="85"/>
      <c r="BD16" s="85"/>
      <c r="BE16" s="85"/>
      <c r="BF16" s="85"/>
    </row>
    <row r="17" spans="1:58">
      <c r="A17" s="25">
        <f t="shared" si="0"/>
        <v>12</v>
      </c>
      <c r="B17" s="86"/>
      <c r="C17" s="86"/>
      <c r="D17" s="86"/>
      <c r="E17" s="86"/>
      <c r="F17" s="86"/>
      <c r="G17" s="86"/>
      <c r="H17" s="86"/>
      <c r="I17" s="86"/>
      <c r="J17" s="86"/>
      <c r="K17" s="86"/>
      <c r="L17" s="86"/>
      <c r="M17" s="86"/>
      <c r="N17" s="86"/>
      <c r="O17" s="86"/>
      <c r="P17" s="86"/>
      <c r="Q17" s="85"/>
      <c r="R17" s="85"/>
      <c r="S17" s="86"/>
      <c r="T17" s="86"/>
      <c r="U17" s="86"/>
      <c r="V17" s="86"/>
      <c r="W17" s="86"/>
      <c r="X17" s="86"/>
      <c r="Y17" s="86"/>
      <c r="Z17" s="86"/>
      <c r="AA17" s="86"/>
      <c r="AB17" s="86"/>
      <c r="AC17" s="86"/>
      <c r="AD17" s="86"/>
      <c r="AE17" s="86"/>
      <c r="AF17" s="86"/>
      <c r="AG17" s="86"/>
      <c r="AH17" s="86"/>
      <c r="AI17" s="86"/>
      <c r="AJ17" s="86"/>
      <c r="AK17" s="86"/>
      <c r="AL17" s="86"/>
      <c r="AM17" s="86"/>
      <c r="AN17" s="86"/>
      <c r="AO17" s="86"/>
      <c r="AP17" s="86"/>
      <c r="AQ17" s="86"/>
      <c r="AR17" s="85"/>
      <c r="AS17" s="85"/>
      <c r="AT17" s="85"/>
      <c r="AU17" s="85"/>
      <c r="AV17" s="85"/>
      <c r="AW17" s="85"/>
      <c r="AX17" s="85"/>
      <c r="AY17" s="85"/>
      <c r="AZ17" s="85"/>
      <c r="BA17" s="85"/>
      <c r="BB17" s="85"/>
      <c r="BC17" s="85"/>
      <c r="BD17" s="85"/>
      <c r="BE17" s="85"/>
      <c r="BF17" s="85"/>
    </row>
    <row r="18" spans="1:58">
      <c r="A18" s="25">
        <f t="shared" si="0"/>
        <v>13</v>
      </c>
      <c r="B18" s="86"/>
      <c r="C18" s="86"/>
      <c r="D18" s="86"/>
      <c r="E18" s="86"/>
      <c r="F18" s="86"/>
      <c r="G18" s="86"/>
      <c r="H18" s="86"/>
      <c r="I18" s="86"/>
      <c r="J18" s="86"/>
      <c r="K18" s="86"/>
      <c r="L18" s="86"/>
      <c r="M18" s="86"/>
      <c r="N18" s="86"/>
      <c r="O18" s="86"/>
      <c r="P18" s="86"/>
      <c r="Q18" s="85"/>
      <c r="R18" s="85"/>
      <c r="S18" s="86"/>
      <c r="T18" s="86"/>
      <c r="U18" s="86"/>
      <c r="V18" s="86"/>
      <c r="W18" s="86"/>
      <c r="X18" s="86"/>
      <c r="Y18" s="86"/>
      <c r="Z18" s="86"/>
      <c r="AA18" s="86"/>
      <c r="AB18" s="86"/>
      <c r="AC18" s="86"/>
      <c r="AD18" s="86"/>
      <c r="AE18" s="86"/>
      <c r="AF18" s="86"/>
      <c r="AG18" s="86"/>
      <c r="AH18" s="86"/>
      <c r="AI18" s="86"/>
      <c r="AJ18" s="86"/>
      <c r="AK18" s="86"/>
      <c r="AL18" s="86"/>
      <c r="AM18" s="86"/>
      <c r="AN18" s="86"/>
      <c r="AO18" s="86"/>
      <c r="AP18" s="86"/>
      <c r="AQ18" s="86"/>
      <c r="AR18" s="85"/>
      <c r="AS18" s="85"/>
      <c r="AT18" s="85"/>
      <c r="AU18" s="85"/>
      <c r="AV18" s="85"/>
      <c r="AW18" s="85"/>
      <c r="AX18" s="85"/>
      <c r="AY18" s="85"/>
      <c r="AZ18" s="85"/>
      <c r="BA18" s="85"/>
      <c r="BB18" s="85"/>
      <c r="BC18" s="85"/>
      <c r="BD18" s="85"/>
      <c r="BE18" s="85"/>
      <c r="BF18" s="85"/>
    </row>
    <row r="19" spans="1:58">
      <c r="A19" s="25">
        <f t="shared" si="0"/>
        <v>14</v>
      </c>
      <c r="B19" s="86"/>
      <c r="C19" s="86"/>
      <c r="D19" s="86"/>
      <c r="E19" s="86"/>
      <c r="F19" s="86"/>
      <c r="G19" s="86"/>
      <c r="H19" s="86"/>
      <c r="I19" s="86"/>
      <c r="J19" s="86"/>
      <c r="K19" s="86"/>
      <c r="L19" s="86"/>
      <c r="M19" s="86"/>
      <c r="N19" s="86"/>
      <c r="O19" s="86"/>
      <c r="P19" s="86"/>
      <c r="Q19" s="85"/>
      <c r="R19" s="85"/>
      <c r="S19" s="86"/>
      <c r="T19" s="86"/>
      <c r="U19" s="86"/>
      <c r="V19" s="86"/>
      <c r="W19" s="86"/>
      <c r="X19" s="86"/>
      <c r="Y19" s="86"/>
      <c r="Z19" s="86"/>
      <c r="AA19" s="86"/>
      <c r="AB19" s="86"/>
      <c r="AC19" s="86"/>
      <c r="AD19" s="86"/>
      <c r="AE19" s="86"/>
      <c r="AF19" s="86"/>
      <c r="AG19" s="86"/>
      <c r="AH19" s="86"/>
      <c r="AI19" s="86"/>
      <c r="AJ19" s="86"/>
      <c r="AK19" s="86"/>
      <c r="AL19" s="86"/>
      <c r="AM19" s="86"/>
      <c r="AN19" s="86"/>
      <c r="AO19" s="86"/>
      <c r="AP19" s="86"/>
      <c r="AQ19" s="86"/>
      <c r="AR19" s="85"/>
      <c r="AS19" s="85"/>
      <c r="AT19" s="85"/>
      <c r="AU19" s="85"/>
      <c r="AV19" s="85"/>
      <c r="AW19" s="85"/>
      <c r="AX19" s="85"/>
      <c r="AY19" s="85"/>
      <c r="AZ19" s="85"/>
      <c r="BA19" s="85"/>
      <c r="BB19" s="85"/>
      <c r="BC19" s="85"/>
      <c r="BD19" s="85"/>
      <c r="BE19" s="85"/>
      <c r="BF19" s="85"/>
    </row>
    <row r="20" spans="1:58">
      <c r="A20" s="25">
        <f t="shared" si="0"/>
        <v>15</v>
      </c>
      <c r="B20" s="86"/>
      <c r="C20" s="86"/>
      <c r="D20" s="86"/>
      <c r="E20" s="86"/>
      <c r="F20" s="86"/>
      <c r="G20" s="86"/>
      <c r="H20" s="86"/>
      <c r="I20" s="86"/>
      <c r="J20" s="86"/>
      <c r="K20" s="86"/>
      <c r="L20" s="86"/>
      <c r="M20" s="86"/>
      <c r="N20" s="86"/>
      <c r="O20" s="86"/>
      <c r="P20" s="86"/>
      <c r="Q20" s="85"/>
      <c r="R20" s="85"/>
      <c r="S20" s="86"/>
      <c r="T20" s="86"/>
      <c r="U20" s="86"/>
      <c r="V20" s="86"/>
      <c r="W20" s="86"/>
      <c r="X20" s="86"/>
      <c r="Y20" s="86"/>
      <c r="Z20" s="86"/>
      <c r="AA20" s="86"/>
      <c r="AB20" s="86"/>
      <c r="AC20" s="86"/>
      <c r="AD20" s="86"/>
      <c r="AE20" s="86"/>
      <c r="AF20" s="86"/>
      <c r="AG20" s="86"/>
      <c r="AH20" s="86"/>
      <c r="AI20" s="86"/>
      <c r="AJ20" s="86"/>
      <c r="AK20" s="86"/>
      <c r="AL20" s="86"/>
      <c r="AM20" s="86"/>
      <c r="AN20" s="86"/>
      <c r="AO20" s="86"/>
      <c r="AP20" s="86"/>
      <c r="AQ20" s="86"/>
      <c r="AR20" s="85"/>
      <c r="AS20" s="85"/>
      <c r="AT20" s="85"/>
      <c r="AU20" s="85"/>
      <c r="AV20" s="85"/>
      <c r="AW20" s="85"/>
      <c r="AX20" s="85"/>
      <c r="AY20" s="85"/>
      <c r="AZ20" s="85"/>
      <c r="BA20" s="85"/>
      <c r="BB20" s="85"/>
      <c r="BC20" s="85"/>
      <c r="BD20" s="85"/>
      <c r="BE20" s="85"/>
      <c r="BF20" s="85"/>
    </row>
    <row r="21" spans="1:58">
      <c r="A21" s="25">
        <f t="shared" si="0"/>
        <v>16</v>
      </c>
      <c r="B21" s="86"/>
      <c r="C21" s="86"/>
      <c r="D21" s="86"/>
      <c r="E21" s="86"/>
      <c r="F21" s="86"/>
      <c r="G21" s="86"/>
      <c r="H21" s="86"/>
      <c r="I21" s="86"/>
      <c r="J21" s="86"/>
      <c r="K21" s="86"/>
      <c r="L21" s="86"/>
      <c r="M21" s="86"/>
      <c r="N21" s="86"/>
      <c r="O21" s="86"/>
      <c r="P21" s="86"/>
      <c r="Q21" s="85"/>
      <c r="R21" s="85"/>
      <c r="S21" s="86"/>
      <c r="T21" s="86"/>
      <c r="U21" s="86"/>
      <c r="V21" s="86"/>
      <c r="W21" s="86"/>
      <c r="X21" s="86"/>
      <c r="Y21" s="86"/>
      <c r="Z21" s="86"/>
      <c r="AA21" s="86"/>
      <c r="AB21" s="86"/>
      <c r="AC21" s="86"/>
      <c r="AD21" s="86"/>
      <c r="AE21" s="86"/>
      <c r="AF21" s="86"/>
      <c r="AG21" s="86"/>
      <c r="AH21" s="86"/>
      <c r="AI21" s="86"/>
      <c r="AJ21" s="86"/>
      <c r="AK21" s="86"/>
      <c r="AL21" s="86"/>
      <c r="AM21" s="86"/>
      <c r="AN21" s="86"/>
      <c r="AO21" s="86"/>
      <c r="AP21" s="86"/>
      <c r="AQ21" s="86"/>
      <c r="AR21" s="85"/>
      <c r="AS21" s="85"/>
      <c r="AT21" s="85"/>
      <c r="AU21" s="85"/>
      <c r="AV21" s="85"/>
      <c r="AW21" s="85"/>
      <c r="AX21" s="85"/>
      <c r="AY21" s="85"/>
      <c r="AZ21" s="85"/>
      <c r="BA21" s="85"/>
      <c r="BB21" s="85"/>
      <c r="BC21" s="85"/>
      <c r="BD21" s="85"/>
      <c r="BE21" s="85"/>
      <c r="BF21" s="85"/>
    </row>
    <row r="22" spans="1:58">
      <c r="A22" s="25">
        <f t="shared" si="0"/>
        <v>17</v>
      </c>
      <c r="B22" s="86"/>
      <c r="C22" s="86"/>
      <c r="D22" s="86"/>
      <c r="E22" s="86"/>
      <c r="F22" s="86"/>
      <c r="G22" s="86"/>
      <c r="H22" s="86"/>
      <c r="I22" s="86"/>
      <c r="J22" s="86"/>
      <c r="K22" s="86"/>
      <c r="L22" s="86"/>
      <c r="M22" s="86"/>
      <c r="N22" s="86"/>
      <c r="O22" s="86"/>
      <c r="P22" s="86"/>
      <c r="Q22" s="85"/>
      <c r="R22" s="85"/>
      <c r="S22" s="86"/>
      <c r="T22" s="86"/>
      <c r="U22" s="86"/>
      <c r="V22" s="86"/>
      <c r="W22" s="86"/>
      <c r="X22" s="86"/>
      <c r="Y22" s="86"/>
      <c r="Z22" s="86"/>
      <c r="AA22" s="86"/>
      <c r="AB22" s="86"/>
      <c r="AC22" s="86"/>
      <c r="AD22" s="86"/>
      <c r="AE22" s="86"/>
      <c r="AF22" s="86"/>
      <c r="AG22" s="86"/>
      <c r="AH22" s="86"/>
      <c r="AI22" s="86"/>
      <c r="AJ22" s="86"/>
      <c r="AK22" s="86"/>
      <c r="AL22" s="86"/>
      <c r="AM22" s="86"/>
      <c r="AN22" s="86"/>
      <c r="AO22" s="86"/>
      <c r="AP22" s="86"/>
      <c r="AQ22" s="86"/>
      <c r="AR22" s="85"/>
      <c r="AS22" s="85"/>
      <c r="AT22" s="85"/>
      <c r="AU22" s="85"/>
      <c r="AV22" s="85"/>
      <c r="AW22" s="85"/>
      <c r="AX22" s="85"/>
      <c r="AY22" s="85"/>
      <c r="AZ22" s="85"/>
      <c r="BA22" s="85"/>
      <c r="BB22" s="85"/>
      <c r="BC22" s="85"/>
      <c r="BD22" s="85"/>
      <c r="BE22" s="85"/>
      <c r="BF22" s="85"/>
    </row>
    <row r="23" spans="1:58">
      <c r="A23" s="25">
        <f t="shared" si="0"/>
        <v>18</v>
      </c>
      <c r="B23" s="86"/>
      <c r="C23" s="86"/>
      <c r="D23" s="86"/>
      <c r="E23" s="86"/>
      <c r="F23" s="86"/>
      <c r="G23" s="86"/>
      <c r="H23" s="86"/>
      <c r="I23" s="86"/>
      <c r="J23" s="86"/>
      <c r="K23" s="86"/>
      <c r="L23" s="86"/>
      <c r="M23" s="86"/>
      <c r="N23" s="86"/>
      <c r="O23" s="86"/>
      <c r="P23" s="86"/>
      <c r="Q23" s="85"/>
      <c r="R23" s="85"/>
      <c r="S23" s="86"/>
      <c r="T23" s="86"/>
      <c r="U23" s="86"/>
      <c r="V23" s="86"/>
      <c r="W23" s="86"/>
      <c r="X23" s="86"/>
      <c r="Y23" s="86"/>
      <c r="Z23" s="86"/>
      <c r="AA23" s="86"/>
      <c r="AB23" s="86"/>
      <c r="AC23" s="86"/>
      <c r="AD23" s="86"/>
      <c r="AE23" s="86"/>
      <c r="AF23" s="86"/>
      <c r="AG23" s="86"/>
      <c r="AH23" s="86"/>
      <c r="AI23" s="86"/>
      <c r="AJ23" s="86"/>
      <c r="AK23" s="86"/>
      <c r="AL23" s="86"/>
      <c r="AM23" s="86"/>
      <c r="AN23" s="86"/>
      <c r="AO23" s="86"/>
      <c r="AP23" s="86"/>
      <c r="AQ23" s="86"/>
      <c r="AR23" s="85"/>
      <c r="AS23" s="85"/>
      <c r="AT23" s="85"/>
      <c r="AU23" s="85"/>
      <c r="AV23" s="85"/>
      <c r="AW23" s="85"/>
      <c r="AX23" s="85"/>
      <c r="AY23" s="85"/>
      <c r="AZ23" s="85"/>
      <c r="BA23" s="85"/>
      <c r="BB23" s="85"/>
      <c r="BC23" s="85"/>
      <c r="BD23" s="85"/>
      <c r="BE23" s="85"/>
      <c r="BF23" s="85"/>
    </row>
    <row r="24" spans="1:58">
      <c r="A24" s="25">
        <f t="shared" si="0"/>
        <v>19</v>
      </c>
      <c r="B24" s="86"/>
      <c r="C24" s="86"/>
      <c r="D24" s="86"/>
      <c r="E24" s="86"/>
      <c r="F24" s="86"/>
      <c r="G24" s="86"/>
      <c r="H24" s="86"/>
      <c r="I24" s="86"/>
      <c r="J24" s="86"/>
      <c r="K24" s="86"/>
      <c r="L24" s="86"/>
      <c r="M24" s="86"/>
      <c r="N24" s="86"/>
      <c r="O24" s="86"/>
      <c r="P24" s="86"/>
      <c r="Q24" s="85"/>
      <c r="R24" s="85"/>
      <c r="S24" s="86"/>
      <c r="T24" s="86"/>
      <c r="U24" s="86"/>
      <c r="V24" s="86"/>
      <c r="W24" s="86"/>
      <c r="X24" s="86"/>
      <c r="Y24" s="86"/>
      <c r="Z24" s="86"/>
      <c r="AA24" s="86"/>
      <c r="AB24" s="86"/>
      <c r="AC24" s="86"/>
      <c r="AD24" s="86"/>
      <c r="AE24" s="86"/>
      <c r="AF24" s="86"/>
      <c r="AG24" s="86"/>
      <c r="AH24" s="86"/>
      <c r="AI24" s="86"/>
      <c r="AJ24" s="86"/>
      <c r="AK24" s="86"/>
      <c r="AL24" s="86"/>
      <c r="AM24" s="86"/>
      <c r="AN24" s="86"/>
      <c r="AO24" s="86"/>
      <c r="AP24" s="86"/>
      <c r="AQ24" s="86"/>
      <c r="AR24" s="85"/>
      <c r="AS24" s="85"/>
      <c r="AT24" s="85"/>
      <c r="AU24" s="85"/>
      <c r="AV24" s="85"/>
      <c r="AW24" s="85"/>
      <c r="AX24" s="85"/>
      <c r="AY24" s="85"/>
      <c r="AZ24" s="85"/>
      <c r="BA24" s="85"/>
      <c r="BB24" s="85"/>
      <c r="BC24" s="85"/>
      <c r="BD24" s="85"/>
      <c r="BE24" s="85"/>
      <c r="BF24" s="85"/>
    </row>
    <row r="25" spans="1:58">
      <c r="A25" s="25">
        <f t="shared" si="0"/>
        <v>20</v>
      </c>
      <c r="B25" s="86"/>
      <c r="C25" s="86"/>
      <c r="D25" s="86"/>
      <c r="E25" s="86"/>
      <c r="F25" s="86"/>
      <c r="G25" s="86"/>
      <c r="H25" s="86"/>
      <c r="I25" s="86"/>
      <c r="J25" s="86"/>
      <c r="K25" s="86"/>
      <c r="L25" s="86"/>
      <c r="M25" s="86"/>
      <c r="N25" s="86"/>
      <c r="O25" s="86"/>
      <c r="P25" s="86"/>
      <c r="Q25" s="85"/>
      <c r="R25" s="85"/>
      <c r="S25" s="86"/>
      <c r="T25" s="86"/>
      <c r="U25" s="86"/>
      <c r="V25" s="86"/>
      <c r="W25" s="86"/>
      <c r="X25" s="86"/>
      <c r="Y25" s="86"/>
      <c r="Z25" s="86"/>
      <c r="AA25" s="86"/>
      <c r="AB25" s="86"/>
      <c r="AC25" s="86"/>
      <c r="AD25" s="86"/>
      <c r="AE25" s="86"/>
      <c r="AF25" s="86"/>
      <c r="AG25" s="86"/>
      <c r="AH25" s="86"/>
      <c r="AI25" s="86"/>
      <c r="AJ25" s="86"/>
      <c r="AK25" s="86"/>
      <c r="AL25" s="86"/>
      <c r="AM25" s="86"/>
      <c r="AN25" s="86"/>
      <c r="AO25" s="86"/>
      <c r="AP25" s="86"/>
      <c r="AQ25" s="86"/>
      <c r="AR25" s="85"/>
      <c r="AS25" s="85"/>
      <c r="AT25" s="85"/>
      <c r="AU25" s="85"/>
      <c r="AV25" s="85"/>
      <c r="AW25" s="85"/>
      <c r="AX25" s="85"/>
      <c r="AY25" s="85"/>
      <c r="AZ25" s="85"/>
      <c r="BA25" s="85"/>
      <c r="BB25" s="85"/>
      <c r="BC25" s="85"/>
      <c r="BD25" s="85"/>
      <c r="BE25" s="85"/>
      <c r="BF25" s="85"/>
    </row>
    <row r="26" spans="1:58">
      <c r="A26" s="25">
        <f t="shared" si="0"/>
        <v>21</v>
      </c>
      <c r="B26" s="86"/>
      <c r="C26" s="86"/>
      <c r="D26" s="86"/>
      <c r="E26" s="86"/>
      <c r="F26" s="86"/>
      <c r="G26" s="86"/>
      <c r="H26" s="86"/>
      <c r="I26" s="86"/>
      <c r="J26" s="86"/>
      <c r="K26" s="86"/>
      <c r="L26" s="86"/>
      <c r="M26" s="86"/>
      <c r="N26" s="86"/>
      <c r="O26" s="86"/>
      <c r="P26" s="86"/>
      <c r="Q26" s="85"/>
      <c r="R26" s="85"/>
      <c r="S26" s="86"/>
      <c r="T26" s="86"/>
      <c r="U26" s="86"/>
      <c r="V26" s="86"/>
      <c r="W26" s="86"/>
      <c r="X26" s="86"/>
      <c r="Y26" s="86"/>
      <c r="Z26" s="86"/>
      <c r="AA26" s="86"/>
      <c r="AB26" s="86"/>
      <c r="AC26" s="86"/>
      <c r="AD26" s="86"/>
      <c r="AE26" s="86"/>
      <c r="AF26" s="86"/>
      <c r="AG26" s="86"/>
      <c r="AH26" s="86"/>
      <c r="AI26" s="86"/>
      <c r="AJ26" s="86"/>
      <c r="AK26" s="86"/>
      <c r="AL26" s="86"/>
      <c r="AM26" s="86"/>
      <c r="AN26" s="86"/>
      <c r="AO26" s="86"/>
      <c r="AP26" s="86"/>
      <c r="AQ26" s="86"/>
      <c r="AR26" s="85"/>
      <c r="AS26" s="85"/>
      <c r="AT26" s="85"/>
      <c r="AU26" s="85"/>
      <c r="AV26" s="85"/>
      <c r="AW26" s="85"/>
      <c r="AX26" s="85"/>
      <c r="AY26" s="85"/>
      <c r="AZ26" s="85"/>
      <c r="BA26" s="85"/>
      <c r="BB26" s="85"/>
      <c r="BC26" s="85"/>
      <c r="BD26" s="85"/>
      <c r="BE26" s="85"/>
      <c r="BF26" s="85"/>
    </row>
    <row r="27" spans="1:58">
      <c r="A27" s="25">
        <f t="shared" si="0"/>
        <v>22</v>
      </c>
      <c r="B27" s="86"/>
      <c r="C27" s="86"/>
      <c r="D27" s="86"/>
      <c r="E27" s="86"/>
      <c r="F27" s="86"/>
      <c r="G27" s="86"/>
      <c r="H27" s="86"/>
      <c r="I27" s="86"/>
      <c r="J27" s="86"/>
      <c r="K27" s="86"/>
      <c r="L27" s="86"/>
      <c r="M27" s="86"/>
      <c r="N27" s="86"/>
      <c r="O27" s="86"/>
      <c r="P27" s="86"/>
      <c r="Q27" s="85"/>
      <c r="R27" s="85"/>
      <c r="S27" s="86"/>
      <c r="T27" s="86"/>
      <c r="U27" s="86"/>
      <c r="V27" s="86"/>
      <c r="W27" s="86"/>
      <c r="X27" s="86"/>
      <c r="Y27" s="86"/>
      <c r="Z27" s="86"/>
      <c r="AA27" s="86"/>
      <c r="AB27" s="86"/>
      <c r="AC27" s="86"/>
      <c r="AD27" s="86"/>
      <c r="AE27" s="86"/>
      <c r="AF27" s="86"/>
      <c r="AG27" s="86"/>
      <c r="AH27" s="86"/>
      <c r="AI27" s="86"/>
      <c r="AJ27" s="86"/>
      <c r="AK27" s="86"/>
      <c r="AL27" s="86"/>
      <c r="AM27" s="86"/>
      <c r="AN27" s="86"/>
      <c r="AO27" s="86"/>
      <c r="AP27" s="86"/>
      <c r="AQ27" s="86"/>
      <c r="AR27" s="85"/>
      <c r="AS27" s="85"/>
      <c r="AT27" s="85"/>
      <c r="AU27" s="85"/>
      <c r="AV27" s="85"/>
      <c r="AW27" s="85"/>
      <c r="AX27" s="85"/>
      <c r="AY27" s="85"/>
      <c r="AZ27" s="85"/>
      <c r="BA27" s="85"/>
      <c r="BB27" s="85"/>
      <c r="BC27" s="85"/>
      <c r="BD27" s="85"/>
      <c r="BE27" s="85"/>
      <c r="BF27" s="85"/>
    </row>
    <row r="28" spans="1:58">
      <c r="A28" s="25">
        <f t="shared" si="0"/>
        <v>23</v>
      </c>
      <c r="B28" s="86"/>
      <c r="C28" s="86"/>
      <c r="D28" s="86"/>
      <c r="E28" s="86"/>
      <c r="F28" s="86"/>
      <c r="G28" s="86"/>
      <c r="H28" s="86"/>
      <c r="I28" s="86"/>
      <c r="J28" s="86"/>
      <c r="K28" s="86"/>
      <c r="L28" s="86"/>
      <c r="M28" s="86"/>
      <c r="N28" s="86"/>
      <c r="O28" s="86"/>
      <c r="P28" s="86"/>
      <c r="Q28" s="85"/>
      <c r="R28" s="85"/>
      <c r="S28" s="86"/>
      <c r="T28" s="86"/>
      <c r="U28" s="86"/>
      <c r="V28" s="86"/>
      <c r="W28" s="86"/>
      <c r="X28" s="86"/>
      <c r="Y28" s="86"/>
      <c r="Z28" s="86"/>
      <c r="AA28" s="86"/>
      <c r="AB28" s="86"/>
      <c r="AC28" s="86"/>
      <c r="AD28" s="86"/>
      <c r="AE28" s="86"/>
      <c r="AF28" s="86"/>
      <c r="AG28" s="86"/>
      <c r="AH28" s="86"/>
      <c r="AI28" s="86"/>
      <c r="AJ28" s="86"/>
      <c r="AK28" s="86"/>
      <c r="AL28" s="86"/>
      <c r="AM28" s="86"/>
      <c r="AN28" s="86"/>
      <c r="AO28" s="86"/>
      <c r="AP28" s="86"/>
      <c r="AQ28" s="86"/>
      <c r="AR28" s="85"/>
      <c r="AS28" s="85"/>
      <c r="AT28" s="85"/>
      <c r="AU28" s="85"/>
      <c r="AV28" s="85"/>
      <c r="AW28" s="85"/>
      <c r="AX28" s="85"/>
      <c r="AY28" s="85"/>
      <c r="AZ28" s="85"/>
      <c r="BA28" s="85"/>
      <c r="BB28" s="85"/>
      <c r="BC28" s="85"/>
      <c r="BD28" s="85"/>
      <c r="BE28" s="85"/>
      <c r="BF28" s="85"/>
    </row>
    <row r="29" spans="1:58">
      <c r="A29" s="25">
        <f t="shared" si="0"/>
        <v>24</v>
      </c>
      <c r="B29" s="86"/>
      <c r="C29" s="86"/>
      <c r="D29" s="86"/>
      <c r="E29" s="86"/>
      <c r="F29" s="86"/>
      <c r="G29" s="86"/>
      <c r="H29" s="86"/>
      <c r="I29" s="86"/>
      <c r="J29" s="86"/>
      <c r="K29" s="86"/>
      <c r="L29" s="86"/>
      <c r="M29" s="86"/>
      <c r="N29" s="86"/>
      <c r="O29" s="86"/>
      <c r="P29" s="86"/>
      <c r="Q29" s="85"/>
      <c r="R29" s="85"/>
      <c r="S29" s="86"/>
      <c r="T29" s="86"/>
      <c r="U29" s="86"/>
      <c r="V29" s="86"/>
      <c r="W29" s="86"/>
      <c r="X29" s="86"/>
      <c r="Y29" s="86"/>
      <c r="Z29" s="86"/>
      <c r="AA29" s="86"/>
      <c r="AB29" s="86"/>
      <c r="AC29" s="86"/>
      <c r="AD29" s="86"/>
      <c r="AE29" s="86"/>
      <c r="AF29" s="86"/>
      <c r="AG29" s="86"/>
      <c r="AH29" s="86"/>
      <c r="AI29" s="86"/>
      <c r="AJ29" s="86"/>
      <c r="AK29" s="86"/>
      <c r="AL29" s="86"/>
      <c r="AM29" s="86"/>
      <c r="AN29" s="86"/>
      <c r="AO29" s="86"/>
      <c r="AP29" s="86"/>
      <c r="AQ29" s="86"/>
      <c r="AR29" s="85"/>
      <c r="AS29" s="85"/>
      <c r="AT29" s="85"/>
      <c r="AU29" s="85"/>
      <c r="AV29" s="85"/>
      <c r="AW29" s="85"/>
      <c r="AX29" s="85"/>
      <c r="AY29" s="85"/>
      <c r="AZ29" s="85"/>
      <c r="BA29" s="85"/>
      <c r="BB29" s="85"/>
      <c r="BC29" s="85"/>
      <c r="BD29" s="85"/>
      <c r="BE29" s="85"/>
      <c r="BF29" s="85"/>
    </row>
    <row r="30" spans="1:58">
      <c r="A30" s="25">
        <f t="shared" si="0"/>
        <v>25</v>
      </c>
      <c r="B30" s="86"/>
      <c r="C30" s="86"/>
      <c r="D30" s="86"/>
      <c r="E30" s="86"/>
      <c r="F30" s="86"/>
      <c r="G30" s="86"/>
      <c r="H30" s="86"/>
      <c r="I30" s="86"/>
      <c r="J30" s="86"/>
      <c r="K30" s="86"/>
      <c r="L30" s="86"/>
      <c r="M30" s="86"/>
      <c r="N30" s="86"/>
      <c r="O30" s="86"/>
      <c r="P30" s="86"/>
      <c r="Q30" s="85"/>
      <c r="R30" s="85"/>
      <c r="S30" s="86"/>
      <c r="T30" s="86"/>
      <c r="U30" s="86"/>
      <c r="V30" s="86"/>
      <c r="W30" s="86"/>
      <c r="X30" s="86"/>
      <c r="Y30" s="86"/>
      <c r="Z30" s="86"/>
      <c r="AA30" s="86"/>
      <c r="AB30" s="86"/>
      <c r="AC30" s="86"/>
      <c r="AD30" s="86"/>
      <c r="AE30" s="86"/>
      <c r="AF30" s="86"/>
      <c r="AG30" s="86"/>
      <c r="AH30" s="86"/>
      <c r="AI30" s="86"/>
      <c r="AJ30" s="86"/>
      <c r="AK30" s="86"/>
      <c r="AL30" s="86"/>
      <c r="AM30" s="86"/>
      <c r="AN30" s="86"/>
      <c r="AO30" s="86"/>
      <c r="AP30" s="86"/>
      <c r="AQ30" s="86"/>
      <c r="AR30" s="85"/>
      <c r="AS30" s="85"/>
      <c r="AT30" s="85"/>
      <c r="AU30" s="85"/>
      <c r="AV30" s="85"/>
      <c r="AW30" s="85"/>
      <c r="AX30" s="85"/>
      <c r="AY30" s="85"/>
      <c r="AZ30" s="85"/>
      <c r="BA30" s="85"/>
      <c r="BB30" s="85"/>
      <c r="BC30" s="85"/>
      <c r="BD30" s="85"/>
      <c r="BE30" s="85"/>
      <c r="BF30" s="85"/>
    </row>
    <row r="31" spans="1:58">
      <c r="A31" s="25">
        <f t="shared" si="0"/>
        <v>26</v>
      </c>
      <c r="B31" s="86"/>
      <c r="C31" s="86"/>
      <c r="D31" s="86"/>
      <c r="E31" s="86"/>
      <c r="F31" s="86"/>
      <c r="G31" s="86"/>
      <c r="H31" s="86"/>
      <c r="I31" s="86"/>
      <c r="J31" s="86"/>
      <c r="K31" s="86"/>
      <c r="L31" s="86"/>
      <c r="M31" s="86"/>
      <c r="N31" s="86"/>
      <c r="O31" s="86"/>
      <c r="P31" s="86"/>
      <c r="Q31" s="85"/>
      <c r="R31" s="85"/>
      <c r="S31" s="86"/>
      <c r="T31" s="86"/>
      <c r="U31" s="86"/>
      <c r="V31" s="86"/>
      <c r="W31" s="86"/>
      <c r="X31" s="86"/>
      <c r="Y31" s="86"/>
      <c r="Z31" s="86"/>
      <c r="AA31" s="86"/>
      <c r="AB31" s="86"/>
      <c r="AC31" s="86"/>
      <c r="AD31" s="86"/>
      <c r="AE31" s="86"/>
      <c r="AF31" s="86"/>
      <c r="AG31" s="86"/>
      <c r="AH31" s="86"/>
      <c r="AI31" s="86"/>
      <c r="AJ31" s="86"/>
      <c r="AK31" s="86"/>
      <c r="AL31" s="86"/>
      <c r="AM31" s="86"/>
      <c r="AN31" s="86"/>
      <c r="AO31" s="86"/>
      <c r="AP31" s="86"/>
      <c r="AQ31" s="86"/>
      <c r="AR31" s="85"/>
      <c r="AS31" s="85"/>
      <c r="AT31" s="85"/>
      <c r="AU31" s="85"/>
      <c r="AV31" s="85"/>
      <c r="AW31" s="85"/>
      <c r="AX31" s="85"/>
      <c r="AY31" s="85"/>
      <c r="AZ31" s="85"/>
      <c r="BA31" s="85"/>
      <c r="BB31" s="85"/>
      <c r="BC31" s="85"/>
      <c r="BD31" s="85"/>
      <c r="BE31" s="85"/>
      <c r="BF31" s="85"/>
    </row>
    <row r="32" spans="1:58">
      <c r="A32" s="25">
        <f t="shared" si="0"/>
        <v>27</v>
      </c>
      <c r="B32" s="86"/>
      <c r="C32" s="86"/>
      <c r="D32" s="86"/>
      <c r="E32" s="86"/>
      <c r="F32" s="86"/>
      <c r="G32" s="86"/>
      <c r="H32" s="86"/>
      <c r="I32" s="86"/>
      <c r="J32" s="86"/>
      <c r="K32" s="86"/>
      <c r="L32" s="86"/>
      <c r="M32" s="86"/>
      <c r="N32" s="86"/>
      <c r="O32" s="86"/>
      <c r="P32" s="86"/>
      <c r="Q32" s="85"/>
      <c r="R32" s="85"/>
      <c r="S32" s="86"/>
      <c r="T32" s="86"/>
      <c r="U32" s="86"/>
      <c r="V32" s="86"/>
      <c r="W32" s="86"/>
      <c r="X32" s="86"/>
      <c r="Y32" s="86"/>
      <c r="Z32" s="86"/>
      <c r="AA32" s="86"/>
      <c r="AB32" s="86"/>
      <c r="AC32" s="86"/>
      <c r="AD32" s="86"/>
      <c r="AE32" s="86"/>
      <c r="AF32" s="86"/>
      <c r="AG32" s="86"/>
      <c r="AH32" s="86"/>
      <c r="AI32" s="86"/>
      <c r="AJ32" s="86"/>
      <c r="AK32" s="86"/>
      <c r="AL32" s="86"/>
      <c r="AM32" s="86"/>
      <c r="AN32" s="86"/>
      <c r="AO32" s="86"/>
      <c r="AP32" s="86"/>
      <c r="AQ32" s="86"/>
      <c r="AR32" s="85"/>
      <c r="AS32" s="85"/>
      <c r="AT32" s="85"/>
      <c r="AU32" s="85"/>
      <c r="AV32" s="85"/>
      <c r="AW32" s="85"/>
      <c r="AX32" s="85"/>
      <c r="AY32" s="85"/>
      <c r="AZ32" s="85"/>
      <c r="BA32" s="85"/>
      <c r="BB32" s="85"/>
      <c r="BC32" s="85"/>
      <c r="BD32" s="85"/>
      <c r="BE32" s="85"/>
      <c r="BF32" s="85"/>
    </row>
    <row r="33" spans="1:58">
      <c r="A33" s="25">
        <f t="shared" si="0"/>
        <v>28</v>
      </c>
      <c r="B33" s="86"/>
      <c r="C33" s="86"/>
      <c r="D33" s="86"/>
      <c r="E33" s="86"/>
      <c r="F33" s="86"/>
      <c r="G33" s="86"/>
      <c r="H33" s="86"/>
      <c r="I33" s="86"/>
      <c r="J33" s="86"/>
      <c r="K33" s="86"/>
      <c r="L33" s="86"/>
      <c r="M33" s="86"/>
      <c r="N33" s="86"/>
      <c r="O33" s="86"/>
      <c r="P33" s="86"/>
      <c r="Q33" s="85"/>
      <c r="R33" s="85"/>
      <c r="S33" s="86"/>
      <c r="T33" s="86"/>
      <c r="U33" s="86"/>
      <c r="V33" s="86"/>
      <c r="W33" s="86"/>
      <c r="X33" s="86"/>
      <c r="Y33" s="86"/>
      <c r="Z33" s="86"/>
      <c r="AA33" s="86"/>
      <c r="AB33" s="86"/>
      <c r="AC33" s="86"/>
      <c r="AD33" s="86"/>
      <c r="AE33" s="86"/>
      <c r="AF33" s="86"/>
      <c r="AG33" s="86"/>
      <c r="AH33" s="86"/>
      <c r="AI33" s="86"/>
      <c r="AJ33" s="86"/>
      <c r="AK33" s="86"/>
      <c r="AL33" s="86"/>
      <c r="AM33" s="86"/>
      <c r="AN33" s="86"/>
      <c r="AO33" s="86"/>
      <c r="AP33" s="86"/>
      <c r="AQ33" s="86"/>
      <c r="AR33" s="85"/>
      <c r="AS33" s="85"/>
      <c r="AT33" s="85"/>
      <c r="AU33" s="85"/>
      <c r="AV33" s="85"/>
      <c r="AW33" s="85"/>
      <c r="AX33" s="85"/>
      <c r="AY33" s="85"/>
      <c r="AZ33" s="85"/>
      <c r="BA33" s="85"/>
      <c r="BB33" s="85"/>
      <c r="BC33" s="85"/>
      <c r="BD33" s="85"/>
      <c r="BE33" s="85"/>
      <c r="BF33" s="85"/>
    </row>
    <row r="34" spans="1:58">
      <c r="A34" s="25">
        <f t="shared" si="0"/>
        <v>29</v>
      </c>
      <c r="B34" s="86"/>
      <c r="C34" s="86"/>
      <c r="D34" s="86"/>
      <c r="E34" s="86"/>
      <c r="F34" s="86"/>
      <c r="G34" s="86"/>
      <c r="H34" s="86"/>
      <c r="I34" s="86"/>
      <c r="J34" s="86"/>
      <c r="K34" s="86"/>
      <c r="L34" s="86"/>
      <c r="M34" s="86"/>
      <c r="N34" s="86"/>
      <c r="O34" s="86"/>
      <c r="P34" s="86"/>
      <c r="Q34" s="85"/>
      <c r="R34" s="85"/>
      <c r="S34" s="86"/>
      <c r="T34" s="86"/>
      <c r="U34" s="86"/>
      <c r="V34" s="86"/>
      <c r="W34" s="86"/>
      <c r="X34" s="86"/>
      <c r="Y34" s="86"/>
      <c r="Z34" s="86"/>
      <c r="AA34" s="86"/>
      <c r="AB34" s="86"/>
      <c r="AC34" s="86"/>
      <c r="AD34" s="86"/>
      <c r="AE34" s="86"/>
      <c r="AF34" s="86"/>
      <c r="AG34" s="86"/>
      <c r="AH34" s="86"/>
      <c r="AI34" s="86"/>
      <c r="AJ34" s="86"/>
      <c r="AK34" s="86"/>
      <c r="AL34" s="86"/>
      <c r="AM34" s="86"/>
      <c r="AN34" s="86"/>
      <c r="AO34" s="86"/>
      <c r="AP34" s="86"/>
      <c r="AQ34" s="86"/>
      <c r="AR34" s="85"/>
      <c r="AS34" s="85"/>
      <c r="AT34" s="85"/>
      <c r="AU34" s="85"/>
      <c r="AV34" s="85"/>
      <c r="AW34" s="85"/>
      <c r="AX34" s="85"/>
      <c r="AY34" s="85"/>
      <c r="AZ34" s="85"/>
      <c r="BA34" s="85"/>
      <c r="BB34" s="85"/>
      <c r="BC34" s="85"/>
      <c r="BD34" s="85"/>
      <c r="BE34" s="85"/>
      <c r="BF34" s="85"/>
    </row>
    <row r="35" spans="1:58">
      <c r="A35" s="25">
        <f t="shared" si="0"/>
        <v>30</v>
      </c>
      <c r="B35" s="86"/>
      <c r="C35" s="86"/>
      <c r="D35" s="86"/>
      <c r="E35" s="86"/>
      <c r="F35" s="86"/>
      <c r="G35" s="86"/>
      <c r="H35" s="86"/>
      <c r="I35" s="86"/>
      <c r="J35" s="86"/>
      <c r="K35" s="86"/>
      <c r="L35" s="86"/>
      <c r="M35" s="86"/>
      <c r="N35" s="86"/>
      <c r="O35" s="86"/>
      <c r="P35" s="86"/>
      <c r="Q35" s="85"/>
      <c r="R35" s="85"/>
      <c r="S35" s="86"/>
      <c r="T35" s="86"/>
      <c r="U35" s="86"/>
      <c r="V35" s="86"/>
      <c r="W35" s="86"/>
      <c r="X35" s="86"/>
      <c r="Y35" s="86"/>
      <c r="Z35" s="86"/>
      <c r="AA35" s="86"/>
      <c r="AB35" s="86"/>
      <c r="AC35" s="86"/>
      <c r="AD35" s="86"/>
      <c r="AE35" s="86"/>
      <c r="AF35" s="86"/>
      <c r="AG35" s="86"/>
      <c r="AH35" s="86"/>
      <c r="AI35" s="86"/>
      <c r="AJ35" s="86"/>
      <c r="AK35" s="86"/>
      <c r="AL35" s="86"/>
      <c r="AM35" s="86"/>
      <c r="AN35" s="86"/>
      <c r="AO35" s="86"/>
      <c r="AP35" s="86"/>
      <c r="AQ35" s="86"/>
      <c r="AR35" s="85"/>
      <c r="AS35" s="85"/>
      <c r="AT35" s="85"/>
      <c r="AU35" s="85"/>
      <c r="AV35" s="85"/>
      <c r="AW35" s="85"/>
      <c r="AX35" s="85"/>
      <c r="AY35" s="85"/>
      <c r="AZ35" s="85"/>
      <c r="BA35" s="85"/>
      <c r="BB35" s="85"/>
      <c r="BC35" s="85"/>
      <c r="BD35" s="85"/>
      <c r="BE35" s="85"/>
      <c r="BF35" s="85"/>
    </row>
    <row r="36" spans="1:58">
      <c r="A36" s="25">
        <f t="shared" si="0"/>
        <v>31</v>
      </c>
      <c r="B36" s="86"/>
      <c r="C36" s="86"/>
      <c r="D36" s="86"/>
      <c r="E36" s="86"/>
      <c r="F36" s="86"/>
      <c r="G36" s="86"/>
      <c r="H36" s="86"/>
      <c r="I36" s="86"/>
      <c r="J36" s="86"/>
      <c r="K36" s="86"/>
      <c r="L36" s="86"/>
      <c r="M36" s="86"/>
      <c r="N36" s="86"/>
      <c r="O36" s="86"/>
      <c r="P36" s="86"/>
      <c r="Q36" s="85"/>
      <c r="R36" s="85"/>
      <c r="S36" s="86"/>
      <c r="T36" s="86"/>
      <c r="U36" s="86"/>
      <c r="V36" s="86"/>
      <c r="W36" s="86"/>
      <c r="X36" s="86"/>
      <c r="Y36" s="86"/>
      <c r="Z36" s="86"/>
      <c r="AA36" s="86"/>
      <c r="AB36" s="86"/>
      <c r="AC36" s="86"/>
      <c r="AD36" s="86"/>
      <c r="AE36" s="86"/>
      <c r="AF36" s="86"/>
      <c r="AG36" s="86"/>
      <c r="AH36" s="86"/>
      <c r="AI36" s="86"/>
      <c r="AJ36" s="86"/>
      <c r="AK36" s="86"/>
      <c r="AL36" s="86"/>
      <c r="AM36" s="86"/>
      <c r="AN36" s="86"/>
      <c r="AO36" s="86"/>
      <c r="AP36" s="86"/>
      <c r="AQ36" s="86"/>
      <c r="AR36" s="85"/>
      <c r="AS36" s="85"/>
      <c r="AT36" s="85"/>
      <c r="AU36" s="85"/>
      <c r="AV36" s="85"/>
      <c r="AW36" s="85"/>
      <c r="AX36" s="85"/>
      <c r="AY36" s="85"/>
      <c r="AZ36" s="85"/>
      <c r="BA36" s="85"/>
      <c r="BB36" s="85"/>
      <c r="BC36" s="85"/>
      <c r="BD36" s="85"/>
      <c r="BE36" s="85"/>
      <c r="BF36" s="85"/>
    </row>
    <row r="37" spans="1:58">
      <c r="A37" s="25">
        <f t="shared" si="0"/>
        <v>32</v>
      </c>
      <c r="B37" s="86"/>
      <c r="C37" s="86"/>
      <c r="D37" s="86"/>
      <c r="E37" s="86"/>
      <c r="F37" s="86"/>
      <c r="G37" s="86"/>
      <c r="H37" s="86"/>
      <c r="I37" s="86"/>
      <c r="J37" s="86"/>
      <c r="K37" s="86"/>
      <c r="L37" s="86"/>
      <c r="M37" s="86"/>
      <c r="N37" s="86"/>
      <c r="O37" s="86"/>
      <c r="P37" s="86"/>
      <c r="Q37" s="85"/>
      <c r="R37" s="85"/>
      <c r="S37" s="86"/>
      <c r="T37" s="86"/>
      <c r="U37" s="86"/>
      <c r="V37" s="86"/>
      <c r="W37" s="86"/>
      <c r="X37" s="86"/>
      <c r="Y37" s="86"/>
      <c r="Z37" s="86"/>
      <c r="AA37" s="86"/>
      <c r="AB37" s="86"/>
      <c r="AC37" s="86"/>
      <c r="AD37" s="86"/>
      <c r="AE37" s="86"/>
      <c r="AF37" s="86"/>
      <c r="AG37" s="86"/>
      <c r="AH37" s="86"/>
      <c r="AI37" s="86"/>
      <c r="AJ37" s="86"/>
      <c r="AK37" s="86"/>
      <c r="AL37" s="86"/>
      <c r="AM37" s="86"/>
      <c r="AN37" s="86"/>
      <c r="AO37" s="86"/>
      <c r="AP37" s="86"/>
      <c r="AQ37" s="86"/>
      <c r="AR37" s="85"/>
      <c r="AS37" s="85"/>
      <c r="AT37" s="85"/>
      <c r="AU37" s="85"/>
      <c r="AV37" s="85"/>
      <c r="AW37" s="85"/>
      <c r="AX37" s="85"/>
      <c r="AY37" s="85"/>
      <c r="AZ37" s="85"/>
      <c r="BA37" s="85"/>
      <c r="BB37" s="85"/>
      <c r="BC37" s="85"/>
      <c r="BD37" s="85"/>
      <c r="BE37" s="85"/>
      <c r="BF37" s="85"/>
    </row>
    <row r="38" spans="1:58">
      <c r="A38" s="25">
        <f t="shared" si="0"/>
        <v>33</v>
      </c>
      <c r="B38" s="86"/>
      <c r="C38" s="86"/>
      <c r="D38" s="86"/>
      <c r="E38" s="86"/>
      <c r="F38" s="86"/>
      <c r="G38" s="86"/>
      <c r="H38" s="86"/>
      <c r="I38" s="86"/>
      <c r="J38" s="86"/>
      <c r="K38" s="86"/>
      <c r="L38" s="86"/>
      <c r="M38" s="86"/>
      <c r="N38" s="86"/>
      <c r="O38" s="86"/>
      <c r="P38" s="86"/>
      <c r="Q38" s="85"/>
      <c r="R38" s="85"/>
      <c r="S38" s="86"/>
      <c r="T38" s="86"/>
      <c r="U38" s="86"/>
      <c r="V38" s="86"/>
      <c r="W38" s="86"/>
      <c r="X38" s="86"/>
      <c r="Y38" s="86"/>
      <c r="Z38" s="86"/>
      <c r="AA38" s="86"/>
      <c r="AB38" s="86"/>
      <c r="AC38" s="86"/>
      <c r="AD38" s="86"/>
      <c r="AE38" s="86"/>
      <c r="AF38" s="86"/>
      <c r="AG38" s="86"/>
      <c r="AH38" s="86"/>
      <c r="AI38" s="86"/>
      <c r="AJ38" s="86"/>
      <c r="AK38" s="86"/>
      <c r="AL38" s="86"/>
      <c r="AM38" s="86"/>
      <c r="AN38" s="86"/>
      <c r="AO38" s="86"/>
      <c r="AP38" s="86"/>
      <c r="AQ38" s="86"/>
      <c r="AR38" s="85"/>
      <c r="AS38" s="85"/>
      <c r="AT38" s="85"/>
      <c r="AU38" s="85"/>
      <c r="AV38" s="85"/>
      <c r="AW38" s="85"/>
      <c r="AX38" s="85"/>
      <c r="AY38" s="85"/>
      <c r="AZ38" s="85"/>
      <c r="BA38" s="85"/>
      <c r="BB38" s="85"/>
      <c r="BC38" s="85"/>
      <c r="BD38" s="85"/>
      <c r="BE38" s="85"/>
      <c r="BF38" s="85"/>
    </row>
    <row r="39" spans="1:58">
      <c r="A39" s="25">
        <f t="shared" si="0"/>
        <v>34</v>
      </c>
      <c r="B39" s="86"/>
      <c r="C39" s="86"/>
      <c r="D39" s="86"/>
      <c r="E39" s="86"/>
      <c r="F39" s="86"/>
      <c r="G39" s="86"/>
      <c r="H39" s="86"/>
      <c r="I39" s="86"/>
      <c r="J39" s="86"/>
      <c r="K39" s="86"/>
      <c r="L39" s="86"/>
      <c r="M39" s="86"/>
      <c r="N39" s="86"/>
      <c r="O39" s="86"/>
      <c r="P39" s="86"/>
      <c r="Q39" s="85"/>
      <c r="R39" s="85"/>
      <c r="S39" s="86"/>
      <c r="T39" s="86"/>
      <c r="U39" s="86"/>
      <c r="V39" s="86"/>
      <c r="W39" s="86"/>
      <c r="X39" s="86"/>
      <c r="Y39" s="86"/>
      <c r="Z39" s="86"/>
      <c r="AA39" s="86"/>
      <c r="AB39" s="86"/>
      <c r="AC39" s="86"/>
      <c r="AD39" s="86"/>
      <c r="AE39" s="86"/>
      <c r="AF39" s="86"/>
      <c r="AG39" s="86"/>
      <c r="AH39" s="86"/>
      <c r="AI39" s="86"/>
      <c r="AJ39" s="86"/>
      <c r="AK39" s="86"/>
      <c r="AL39" s="86"/>
      <c r="AM39" s="86"/>
      <c r="AN39" s="86"/>
      <c r="AO39" s="86"/>
      <c r="AP39" s="86"/>
      <c r="AQ39" s="86"/>
      <c r="AR39" s="85"/>
      <c r="AS39" s="85"/>
      <c r="AT39" s="85"/>
      <c r="AU39" s="85"/>
      <c r="AV39" s="85"/>
      <c r="AW39" s="85"/>
      <c r="AX39" s="85"/>
      <c r="AY39" s="85"/>
      <c r="AZ39" s="85"/>
      <c r="BA39" s="85"/>
      <c r="BB39" s="85"/>
      <c r="BC39" s="85"/>
      <c r="BD39" s="85"/>
      <c r="BE39" s="85"/>
      <c r="BF39" s="85"/>
    </row>
    <row r="40" spans="1:58">
      <c r="A40" s="25">
        <f t="shared" si="0"/>
        <v>35</v>
      </c>
      <c r="B40" s="86"/>
      <c r="C40" s="86"/>
      <c r="D40" s="86"/>
      <c r="E40" s="86"/>
      <c r="F40" s="86"/>
      <c r="G40" s="86"/>
      <c r="H40" s="86"/>
      <c r="I40" s="86"/>
      <c r="J40" s="86"/>
      <c r="K40" s="86"/>
      <c r="L40" s="86"/>
      <c r="M40" s="86"/>
      <c r="N40" s="86"/>
      <c r="O40" s="86"/>
      <c r="P40" s="86"/>
      <c r="Q40" s="85"/>
      <c r="R40" s="85"/>
      <c r="S40" s="86"/>
      <c r="T40" s="86"/>
      <c r="U40" s="86"/>
      <c r="V40" s="86"/>
      <c r="W40" s="86"/>
      <c r="X40" s="86"/>
      <c r="Y40" s="86"/>
      <c r="Z40" s="86"/>
      <c r="AA40" s="86"/>
      <c r="AB40" s="86"/>
      <c r="AC40" s="86"/>
      <c r="AD40" s="86"/>
      <c r="AE40" s="86"/>
      <c r="AF40" s="86"/>
      <c r="AG40" s="86"/>
      <c r="AH40" s="86"/>
      <c r="AI40" s="86"/>
      <c r="AJ40" s="86"/>
      <c r="AK40" s="86"/>
      <c r="AL40" s="86"/>
      <c r="AM40" s="86"/>
      <c r="AN40" s="86"/>
      <c r="AO40" s="86"/>
      <c r="AP40" s="86"/>
      <c r="AQ40" s="86"/>
      <c r="AR40" s="85"/>
      <c r="AS40" s="85"/>
      <c r="AT40" s="85"/>
      <c r="AU40" s="85"/>
      <c r="AV40" s="85"/>
      <c r="AW40" s="85"/>
      <c r="AX40" s="85"/>
      <c r="AY40" s="85"/>
      <c r="AZ40" s="85"/>
      <c r="BA40" s="85"/>
      <c r="BB40" s="85"/>
      <c r="BC40" s="85"/>
      <c r="BD40" s="85"/>
      <c r="BE40" s="85"/>
      <c r="BF40" s="85"/>
    </row>
    <row r="41" spans="1:58">
      <c r="A41" s="25">
        <f t="shared" si="0"/>
        <v>36</v>
      </c>
      <c r="B41" s="86"/>
      <c r="C41" s="86"/>
      <c r="D41" s="86"/>
      <c r="E41" s="86"/>
      <c r="F41" s="86"/>
      <c r="G41" s="86"/>
      <c r="H41" s="86"/>
      <c r="I41" s="86"/>
      <c r="J41" s="86"/>
      <c r="K41" s="86"/>
      <c r="L41" s="86"/>
      <c r="M41" s="86"/>
      <c r="N41" s="86"/>
      <c r="O41" s="86"/>
      <c r="P41" s="86"/>
      <c r="Q41" s="85"/>
      <c r="R41" s="85"/>
      <c r="S41" s="86"/>
      <c r="T41" s="86"/>
      <c r="U41" s="86"/>
      <c r="V41" s="86"/>
      <c r="W41" s="86"/>
      <c r="X41" s="86"/>
      <c r="Y41" s="86"/>
      <c r="Z41" s="86"/>
      <c r="AA41" s="86"/>
      <c r="AB41" s="86"/>
      <c r="AC41" s="86"/>
      <c r="AD41" s="86"/>
      <c r="AE41" s="86"/>
      <c r="AF41" s="86"/>
      <c r="AG41" s="86"/>
      <c r="AH41" s="86"/>
      <c r="AI41" s="86"/>
      <c r="AJ41" s="86"/>
      <c r="AK41" s="86"/>
      <c r="AL41" s="86"/>
      <c r="AM41" s="86"/>
      <c r="AN41" s="86"/>
      <c r="AO41" s="86"/>
      <c r="AP41" s="86"/>
      <c r="AQ41" s="86"/>
      <c r="AR41" s="85"/>
      <c r="AS41" s="85"/>
      <c r="AT41" s="85"/>
      <c r="AU41" s="85"/>
      <c r="AV41" s="85"/>
      <c r="AW41" s="85"/>
      <c r="AX41" s="85"/>
      <c r="AY41" s="85"/>
      <c r="AZ41" s="85"/>
      <c r="BA41" s="85"/>
      <c r="BB41" s="85"/>
      <c r="BC41" s="85"/>
      <c r="BD41" s="85"/>
      <c r="BE41" s="85"/>
      <c r="BF41" s="85"/>
    </row>
    <row r="42" spans="1:58">
      <c r="A42" s="25">
        <f t="shared" si="0"/>
        <v>37</v>
      </c>
      <c r="B42" s="86"/>
      <c r="C42" s="86"/>
      <c r="D42" s="86"/>
      <c r="E42" s="86"/>
      <c r="F42" s="86"/>
      <c r="G42" s="86"/>
      <c r="H42" s="86"/>
      <c r="I42" s="86"/>
      <c r="J42" s="86"/>
      <c r="K42" s="86"/>
      <c r="L42" s="86"/>
      <c r="M42" s="86"/>
      <c r="N42" s="86"/>
      <c r="O42" s="86"/>
      <c r="P42" s="86"/>
      <c r="Q42" s="85"/>
      <c r="R42" s="85"/>
      <c r="S42" s="86"/>
      <c r="T42" s="86"/>
      <c r="U42" s="86"/>
      <c r="V42" s="86"/>
      <c r="W42" s="86"/>
      <c r="X42" s="86"/>
      <c r="Y42" s="86"/>
      <c r="Z42" s="86"/>
      <c r="AA42" s="86"/>
      <c r="AB42" s="86"/>
      <c r="AC42" s="86"/>
      <c r="AD42" s="86"/>
      <c r="AE42" s="86"/>
      <c r="AF42" s="86"/>
      <c r="AG42" s="86"/>
      <c r="AH42" s="86"/>
      <c r="AI42" s="86"/>
      <c r="AJ42" s="86"/>
      <c r="AK42" s="86"/>
      <c r="AL42" s="86"/>
      <c r="AM42" s="86"/>
      <c r="AN42" s="86"/>
      <c r="AO42" s="86"/>
      <c r="AP42" s="86"/>
      <c r="AQ42" s="86"/>
      <c r="AR42" s="85"/>
      <c r="AS42" s="85"/>
      <c r="AT42" s="85"/>
      <c r="AU42" s="85"/>
      <c r="AV42" s="85"/>
      <c r="AW42" s="85"/>
      <c r="AX42" s="85"/>
      <c r="AY42" s="85"/>
      <c r="AZ42" s="85"/>
      <c r="BA42" s="85"/>
      <c r="BB42" s="85"/>
      <c r="BC42" s="85"/>
      <c r="BD42" s="85"/>
      <c r="BE42" s="85"/>
      <c r="BF42" s="85"/>
    </row>
    <row r="43" spans="1:58">
      <c r="A43" s="25">
        <f t="shared" si="0"/>
        <v>38</v>
      </c>
      <c r="B43" s="86"/>
      <c r="C43" s="86"/>
      <c r="D43" s="86"/>
      <c r="E43" s="86"/>
      <c r="F43" s="86"/>
      <c r="G43" s="86"/>
      <c r="H43" s="86"/>
      <c r="I43" s="86"/>
      <c r="J43" s="86"/>
      <c r="K43" s="86"/>
      <c r="L43" s="86"/>
      <c r="M43" s="86"/>
      <c r="N43" s="86"/>
      <c r="O43" s="86"/>
      <c r="P43" s="86"/>
      <c r="Q43" s="85"/>
      <c r="R43" s="85"/>
      <c r="S43" s="86"/>
      <c r="T43" s="86"/>
      <c r="U43" s="86"/>
      <c r="V43" s="86"/>
      <c r="W43" s="86"/>
      <c r="X43" s="86"/>
      <c r="Y43" s="86"/>
      <c r="Z43" s="86"/>
      <c r="AA43" s="86"/>
      <c r="AB43" s="86"/>
      <c r="AC43" s="86"/>
      <c r="AD43" s="86"/>
      <c r="AE43" s="86"/>
      <c r="AF43" s="86"/>
      <c r="AG43" s="86"/>
      <c r="AH43" s="86"/>
      <c r="AI43" s="86"/>
      <c r="AJ43" s="86"/>
      <c r="AK43" s="86"/>
      <c r="AL43" s="86"/>
      <c r="AM43" s="86"/>
      <c r="AN43" s="86"/>
      <c r="AO43" s="86"/>
      <c r="AP43" s="86"/>
      <c r="AQ43" s="86"/>
      <c r="AR43" s="85"/>
      <c r="AS43" s="85"/>
      <c r="AT43" s="85"/>
      <c r="AU43" s="85"/>
      <c r="AV43" s="85"/>
      <c r="AW43" s="85"/>
      <c r="AX43" s="85"/>
      <c r="AY43" s="85"/>
      <c r="AZ43" s="85"/>
      <c r="BA43" s="85"/>
      <c r="BB43" s="85"/>
      <c r="BC43" s="85"/>
      <c r="BD43" s="85"/>
      <c r="BE43" s="85"/>
      <c r="BF43" s="85"/>
    </row>
    <row r="44" spans="1:58">
      <c r="A44" s="25">
        <f t="shared" si="0"/>
        <v>39</v>
      </c>
      <c r="B44" s="86"/>
      <c r="C44" s="86"/>
      <c r="D44" s="86"/>
      <c r="E44" s="86"/>
      <c r="F44" s="86"/>
      <c r="G44" s="86"/>
      <c r="H44" s="86"/>
      <c r="I44" s="86"/>
      <c r="J44" s="86"/>
      <c r="K44" s="86"/>
      <c r="L44" s="86"/>
      <c r="M44" s="86"/>
      <c r="N44" s="86"/>
      <c r="O44" s="86"/>
      <c r="P44" s="86"/>
      <c r="Q44" s="85"/>
      <c r="R44" s="85"/>
      <c r="S44" s="86"/>
      <c r="T44" s="86"/>
      <c r="U44" s="86"/>
      <c r="V44" s="86"/>
      <c r="W44" s="86"/>
      <c r="X44" s="86"/>
      <c r="Y44" s="86"/>
      <c r="Z44" s="86"/>
      <c r="AA44" s="86"/>
      <c r="AB44" s="86"/>
      <c r="AC44" s="86"/>
      <c r="AD44" s="86"/>
      <c r="AE44" s="86"/>
      <c r="AF44" s="86"/>
      <c r="AG44" s="86"/>
      <c r="AH44" s="86"/>
      <c r="AI44" s="86"/>
      <c r="AJ44" s="86"/>
      <c r="AK44" s="86"/>
      <c r="AL44" s="86"/>
      <c r="AM44" s="86"/>
      <c r="AN44" s="86"/>
      <c r="AO44" s="86"/>
      <c r="AP44" s="86"/>
      <c r="AQ44" s="86"/>
      <c r="AR44" s="85"/>
      <c r="AS44" s="85"/>
      <c r="AT44" s="85"/>
      <c r="AU44" s="85"/>
      <c r="AV44" s="85"/>
      <c r="AW44" s="85"/>
      <c r="AX44" s="85"/>
      <c r="AY44" s="85"/>
      <c r="AZ44" s="85"/>
      <c r="BA44" s="85"/>
      <c r="BB44" s="85"/>
      <c r="BC44" s="85"/>
      <c r="BD44" s="85"/>
      <c r="BE44" s="85"/>
      <c r="BF44" s="85"/>
    </row>
    <row r="45" spans="1:58">
      <c r="A45" s="25">
        <f t="shared" si="0"/>
        <v>40</v>
      </c>
      <c r="B45" s="86"/>
      <c r="C45" s="86"/>
      <c r="D45" s="86"/>
      <c r="E45" s="86"/>
      <c r="F45" s="86"/>
      <c r="G45" s="86"/>
      <c r="H45" s="86"/>
      <c r="I45" s="86"/>
      <c r="J45" s="86"/>
      <c r="K45" s="86"/>
      <c r="L45" s="86"/>
      <c r="M45" s="86"/>
      <c r="N45" s="86"/>
      <c r="O45" s="86"/>
      <c r="P45" s="86"/>
      <c r="Q45" s="85"/>
      <c r="R45" s="85"/>
      <c r="S45" s="86"/>
      <c r="T45" s="86"/>
      <c r="U45" s="86"/>
      <c r="V45" s="86"/>
      <c r="W45" s="86"/>
      <c r="X45" s="86"/>
      <c r="Y45" s="86"/>
      <c r="Z45" s="86"/>
      <c r="AA45" s="86"/>
      <c r="AB45" s="86"/>
      <c r="AC45" s="86"/>
      <c r="AD45" s="86"/>
      <c r="AE45" s="86"/>
      <c r="AF45" s="86"/>
      <c r="AG45" s="86"/>
      <c r="AH45" s="86"/>
      <c r="AI45" s="86"/>
      <c r="AJ45" s="86"/>
      <c r="AK45" s="86"/>
      <c r="AL45" s="86"/>
      <c r="AM45" s="86"/>
      <c r="AN45" s="86"/>
      <c r="AO45" s="86"/>
      <c r="AP45" s="86"/>
      <c r="AQ45" s="86"/>
      <c r="AR45" s="85"/>
      <c r="AS45" s="85"/>
      <c r="AT45" s="85"/>
      <c r="AU45" s="85"/>
      <c r="AV45" s="85"/>
      <c r="AW45" s="85"/>
      <c r="AX45" s="85"/>
      <c r="AY45" s="85"/>
      <c r="AZ45" s="85"/>
      <c r="BA45" s="85"/>
      <c r="BB45" s="85"/>
      <c r="BC45" s="85"/>
      <c r="BD45" s="85"/>
      <c r="BE45" s="85"/>
      <c r="BF45" s="85"/>
    </row>
    <row r="46" spans="1:58">
      <c r="A46" s="25">
        <f t="shared" si="0"/>
        <v>41</v>
      </c>
      <c r="B46" s="86"/>
      <c r="C46" s="86"/>
      <c r="D46" s="86"/>
      <c r="E46" s="86"/>
      <c r="F46" s="86"/>
      <c r="G46" s="86"/>
      <c r="H46" s="86"/>
      <c r="I46" s="86"/>
      <c r="J46" s="86"/>
      <c r="K46" s="86"/>
      <c r="L46" s="86"/>
      <c r="M46" s="86"/>
      <c r="N46" s="86"/>
      <c r="O46" s="86"/>
      <c r="P46" s="86"/>
      <c r="Q46" s="85"/>
      <c r="R46" s="85"/>
      <c r="S46" s="86"/>
      <c r="T46" s="86"/>
      <c r="U46" s="86"/>
      <c r="V46" s="86"/>
      <c r="W46" s="86"/>
      <c r="X46" s="86"/>
      <c r="Y46" s="86"/>
      <c r="Z46" s="86"/>
      <c r="AA46" s="86"/>
      <c r="AB46" s="86"/>
      <c r="AC46" s="86"/>
      <c r="AD46" s="86"/>
      <c r="AE46" s="86"/>
      <c r="AF46" s="86"/>
      <c r="AG46" s="86"/>
      <c r="AH46" s="86"/>
      <c r="AI46" s="86"/>
      <c r="AJ46" s="86"/>
      <c r="AK46" s="86"/>
      <c r="AL46" s="86"/>
      <c r="AM46" s="86"/>
      <c r="AN46" s="86"/>
      <c r="AO46" s="86"/>
      <c r="AP46" s="86"/>
      <c r="AQ46" s="86"/>
      <c r="AR46" s="85"/>
      <c r="AS46" s="85"/>
      <c r="AT46" s="85"/>
      <c r="AU46" s="85"/>
      <c r="AV46" s="85"/>
      <c r="AW46" s="85"/>
      <c r="AX46" s="85"/>
      <c r="AY46" s="85"/>
      <c r="AZ46" s="85"/>
      <c r="BA46" s="85"/>
      <c r="BB46" s="85"/>
      <c r="BC46" s="85"/>
      <c r="BD46" s="85"/>
      <c r="BE46" s="85"/>
      <c r="BF46" s="85"/>
    </row>
    <row r="47" spans="1:58">
      <c r="A47" s="25">
        <f t="shared" si="0"/>
        <v>42</v>
      </c>
      <c r="B47" s="86"/>
      <c r="C47" s="86"/>
      <c r="D47" s="86"/>
      <c r="E47" s="86"/>
      <c r="F47" s="86"/>
      <c r="G47" s="86"/>
      <c r="H47" s="86"/>
      <c r="I47" s="86"/>
      <c r="J47" s="86"/>
      <c r="K47" s="86"/>
      <c r="L47" s="86"/>
      <c r="M47" s="86"/>
      <c r="N47" s="86"/>
      <c r="O47" s="86"/>
      <c r="P47" s="86"/>
      <c r="Q47" s="85"/>
      <c r="R47" s="85"/>
      <c r="S47" s="86"/>
      <c r="T47" s="86"/>
      <c r="U47" s="86"/>
      <c r="V47" s="86"/>
      <c r="W47" s="86"/>
      <c r="X47" s="86"/>
      <c r="Y47" s="86"/>
      <c r="Z47" s="86"/>
      <c r="AA47" s="86"/>
      <c r="AB47" s="86"/>
      <c r="AC47" s="86"/>
      <c r="AD47" s="86"/>
      <c r="AE47" s="86"/>
      <c r="AF47" s="86"/>
      <c r="AG47" s="86"/>
      <c r="AH47" s="86"/>
      <c r="AI47" s="86"/>
      <c r="AJ47" s="86"/>
      <c r="AK47" s="86"/>
      <c r="AL47" s="86"/>
      <c r="AM47" s="86"/>
      <c r="AN47" s="86"/>
      <c r="AO47" s="86"/>
      <c r="AP47" s="86"/>
      <c r="AQ47" s="86"/>
      <c r="AR47" s="85"/>
      <c r="AS47" s="85"/>
      <c r="AT47" s="85"/>
      <c r="AU47" s="85"/>
      <c r="AV47" s="85"/>
      <c r="AW47" s="85"/>
      <c r="AX47" s="85"/>
      <c r="AY47" s="85"/>
      <c r="AZ47" s="85"/>
      <c r="BA47" s="85"/>
      <c r="BB47" s="85"/>
      <c r="BC47" s="85"/>
      <c r="BD47" s="85"/>
      <c r="BE47" s="85"/>
      <c r="BF47" s="85"/>
    </row>
    <row r="48" spans="1:58">
      <c r="A48" s="25">
        <f t="shared" si="0"/>
        <v>43</v>
      </c>
      <c r="B48" s="86"/>
      <c r="C48" s="86"/>
      <c r="D48" s="86"/>
      <c r="E48" s="86"/>
      <c r="F48" s="86"/>
      <c r="G48" s="86"/>
      <c r="H48" s="86"/>
      <c r="I48" s="86"/>
      <c r="J48" s="86"/>
      <c r="K48" s="86"/>
      <c r="L48" s="86"/>
      <c r="M48" s="86"/>
      <c r="N48" s="86"/>
      <c r="O48" s="86"/>
      <c r="P48" s="86"/>
      <c r="Q48" s="85"/>
      <c r="R48" s="85"/>
      <c r="S48" s="86"/>
      <c r="T48" s="86"/>
      <c r="U48" s="86"/>
      <c r="V48" s="86"/>
      <c r="W48" s="86"/>
      <c r="X48" s="86"/>
      <c r="Y48" s="86"/>
      <c r="Z48" s="86"/>
      <c r="AA48" s="86"/>
      <c r="AB48" s="86"/>
      <c r="AC48" s="86"/>
      <c r="AD48" s="86"/>
      <c r="AE48" s="86"/>
      <c r="AF48" s="86"/>
      <c r="AG48" s="86"/>
      <c r="AH48" s="86"/>
      <c r="AI48" s="86"/>
      <c r="AJ48" s="86"/>
      <c r="AK48" s="86"/>
      <c r="AL48" s="86"/>
      <c r="AM48" s="86"/>
      <c r="AN48" s="86"/>
      <c r="AO48" s="86"/>
      <c r="AP48" s="86"/>
      <c r="AQ48" s="86"/>
      <c r="AR48" s="85"/>
      <c r="AS48" s="85"/>
      <c r="AT48" s="85"/>
      <c r="AU48" s="85"/>
      <c r="AV48" s="85"/>
      <c r="AW48" s="85"/>
      <c r="AX48" s="85"/>
      <c r="AY48" s="85"/>
      <c r="AZ48" s="85"/>
      <c r="BA48" s="85"/>
      <c r="BB48" s="85"/>
      <c r="BC48" s="85"/>
      <c r="BD48" s="85"/>
      <c r="BE48" s="85"/>
      <c r="BF48" s="85"/>
    </row>
    <row r="49" spans="1:58">
      <c r="A49" s="25">
        <f t="shared" si="0"/>
        <v>44</v>
      </c>
      <c r="B49" s="86"/>
      <c r="C49" s="86"/>
      <c r="D49" s="86"/>
      <c r="E49" s="86"/>
      <c r="F49" s="86"/>
      <c r="G49" s="86"/>
      <c r="H49" s="86"/>
      <c r="I49" s="86"/>
      <c r="J49" s="86"/>
      <c r="K49" s="86"/>
      <c r="L49" s="86"/>
      <c r="M49" s="86"/>
      <c r="N49" s="86"/>
      <c r="O49" s="86"/>
      <c r="P49" s="86"/>
      <c r="Q49" s="85"/>
      <c r="R49" s="85"/>
      <c r="S49" s="86"/>
      <c r="T49" s="86"/>
      <c r="U49" s="86"/>
      <c r="V49" s="86"/>
      <c r="W49" s="86"/>
      <c r="X49" s="86"/>
      <c r="Y49" s="86"/>
      <c r="Z49" s="86"/>
      <c r="AA49" s="86"/>
      <c r="AB49" s="86"/>
      <c r="AC49" s="86"/>
      <c r="AD49" s="86"/>
      <c r="AE49" s="86"/>
      <c r="AF49" s="86"/>
      <c r="AG49" s="86"/>
      <c r="AH49" s="86"/>
      <c r="AI49" s="86"/>
      <c r="AJ49" s="86"/>
      <c r="AK49" s="86"/>
      <c r="AL49" s="86"/>
      <c r="AM49" s="86"/>
      <c r="AN49" s="86"/>
      <c r="AO49" s="86"/>
      <c r="AP49" s="86"/>
      <c r="AQ49" s="86"/>
      <c r="AR49" s="85"/>
      <c r="AS49" s="85"/>
      <c r="AT49" s="85"/>
      <c r="AU49" s="85"/>
      <c r="AV49" s="85"/>
      <c r="AW49" s="85"/>
      <c r="AX49" s="85"/>
      <c r="AY49" s="85"/>
      <c r="AZ49" s="85"/>
      <c r="BA49" s="85"/>
      <c r="BB49" s="85"/>
      <c r="BC49" s="85"/>
      <c r="BD49" s="85"/>
      <c r="BE49" s="85"/>
      <c r="BF49" s="85"/>
    </row>
    <row r="50" spans="1:58">
      <c r="A50" s="25">
        <f t="shared" si="0"/>
        <v>45</v>
      </c>
      <c r="B50" s="86"/>
      <c r="C50" s="86"/>
      <c r="D50" s="86"/>
      <c r="E50" s="86"/>
      <c r="F50" s="86"/>
      <c r="G50" s="86"/>
      <c r="H50" s="86"/>
      <c r="I50" s="86"/>
      <c r="J50" s="86"/>
      <c r="K50" s="86"/>
      <c r="L50" s="86"/>
      <c r="M50" s="86"/>
      <c r="N50" s="86"/>
      <c r="O50" s="86"/>
      <c r="P50" s="86"/>
      <c r="Q50" s="85"/>
      <c r="R50" s="85"/>
      <c r="S50" s="86"/>
      <c r="T50" s="86"/>
      <c r="U50" s="86"/>
      <c r="V50" s="86"/>
      <c r="W50" s="86"/>
      <c r="X50" s="86"/>
      <c r="Y50" s="86"/>
      <c r="Z50" s="86"/>
      <c r="AA50" s="86"/>
      <c r="AB50" s="86"/>
      <c r="AC50" s="86"/>
      <c r="AD50" s="86"/>
      <c r="AE50" s="86"/>
      <c r="AF50" s="86"/>
      <c r="AG50" s="86"/>
      <c r="AH50" s="86"/>
      <c r="AI50" s="86"/>
      <c r="AJ50" s="86"/>
      <c r="AK50" s="86"/>
      <c r="AL50" s="86"/>
      <c r="AM50" s="86"/>
      <c r="AN50" s="86"/>
      <c r="AO50" s="86"/>
      <c r="AP50" s="86"/>
      <c r="AQ50" s="86"/>
      <c r="AR50" s="85"/>
      <c r="AS50" s="85"/>
      <c r="AT50" s="85"/>
      <c r="AU50" s="85"/>
      <c r="AV50" s="85"/>
      <c r="AW50" s="85"/>
      <c r="AX50" s="85"/>
      <c r="AY50" s="85"/>
      <c r="AZ50" s="85"/>
      <c r="BA50" s="85"/>
      <c r="BB50" s="85"/>
      <c r="BC50" s="85"/>
      <c r="BD50" s="85"/>
      <c r="BE50" s="85"/>
      <c r="BF50" s="85"/>
    </row>
    <row r="51" spans="1:58">
      <c r="A51" s="25">
        <f t="shared" si="0"/>
        <v>46</v>
      </c>
      <c r="B51" s="86"/>
      <c r="C51" s="86"/>
      <c r="D51" s="86"/>
      <c r="E51" s="86"/>
      <c r="F51" s="86"/>
      <c r="G51" s="86"/>
      <c r="H51" s="86"/>
      <c r="I51" s="86"/>
      <c r="J51" s="86"/>
      <c r="K51" s="86"/>
      <c r="L51" s="86"/>
      <c r="M51" s="86"/>
      <c r="N51" s="86"/>
      <c r="O51" s="86"/>
      <c r="P51" s="86"/>
      <c r="Q51" s="85"/>
      <c r="R51" s="85"/>
      <c r="S51" s="86"/>
      <c r="T51" s="86"/>
      <c r="U51" s="86"/>
      <c r="V51" s="86"/>
      <c r="W51" s="86"/>
      <c r="X51" s="86"/>
      <c r="Y51" s="86"/>
      <c r="Z51" s="86"/>
      <c r="AA51" s="86"/>
      <c r="AB51" s="86"/>
      <c r="AC51" s="86"/>
      <c r="AD51" s="86"/>
      <c r="AE51" s="86"/>
      <c r="AF51" s="86"/>
      <c r="AG51" s="86"/>
      <c r="AH51" s="86"/>
      <c r="AI51" s="86"/>
      <c r="AJ51" s="86"/>
      <c r="AK51" s="86"/>
      <c r="AL51" s="86"/>
      <c r="AM51" s="86"/>
      <c r="AN51" s="86"/>
      <c r="AO51" s="86"/>
      <c r="AP51" s="86"/>
      <c r="AQ51" s="86"/>
      <c r="AR51" s="85"/>
      <c r="AS51" s="85"/>
      <c r="AT51" s="85"/>
      <c r="AU51" s="85"/>
      <c r="AV51" s="85"/>
      <c r="AW51" s="85"/>
      <c r="AX51" s="85"/>
      <c r="AY51" s="85"/>
      <c r="AZ51" s="85"/>
      <c r="BA51" s="85"/>
      <c r="BB51" s="85"/>
      <c r="BC51" s="85"/>
      <c r="BD51" s="85"/>
      <c r="BE51" s="85"/>
      <c r="BF51" s="85"/>
    </row>
    <row r="52" spans="1:58">
      <c r="A52" s="25">
        <f t="shared" si="0"/>
        <v>47</v>
      </c>
      <c r="B52" s="86"/>
      <c r="C52" s="86"/>
      <c r="D52" s="86"/>
      <c r="E52" s="86"/>
      <c r="F52" s="86"/>
      <c r="G52" s="86"/>
      <c r="H52" s="86"/>
      <c r="I52" s="86"/>
      <c r="J52" s="86"/>
      <c r="K52" s="86"/>
      <c r="L52" s="86"/>
      <c r="M52" s="86"/>
      <c r="N52" s="86"/>
      <c r="O52" s="86"/>
      <c r="P52" s="86"/>
      <c r="Q52" s="85"/>
      <c r="R52" s="85"/>
      <c r="S52" s="86"/>
      <c r="T52" s="86"/>
      <c r="U52" s="86"/>
      <c r="V52" s="86"/>
      <c r="W52" s="86"/>
      <c r="X52" s="86"/>
      <c r="Y52" s="86"/>
      <c r="Z52" s="86"/>
      <c r="AA52" s="86"/>
      <c r="AB52" s="86"/>
      <c r="AC52" s="86"/>
      <c r="AD52" s="86"/>
      <c r="AE52" s="86"/>
      <c r="AF52" s="86"/>
      <c r="AG52" s="86"/>
      <c r="AH52" s="86"/>
      <c r="AI52" s="86"/>
      <c r="AJ52" s="86"/>
      <c r="AK52" s="86"/>
      <c r="AL52" s="86"/>
      <c r="AM52" s="86"/>
      <c r="AN52" s="86"/>
      <c r="AO52" s="86"/>
      <c r="AP52" s="86"/>
      <c r="AQ52" s="86"/>
      <c r="AR52" s="85"/>
      <c r="AS52" s="85"/>
      <c r="AT52" s="85"/>
      <c r="AU52" s="85"/>
      <c r="AV52" s="85"/>
      <c r="AW52" s="85"/>
      <c r="AX52" s="85"/>
      <c r="AY52" s="85"/>
      <c r="AZ52" s="85"/>
      <c r="BA52" s="85"/>
      <c r="BB52" s="85"/>
      <c r="BC52" s="85"/>
      <c r="BD52" s="85"/>
      <c r="BE52" s="85"/>
      <c r="BF52" s="85"/>
    </row>
    <row r="53" spans="1:58">
      <c r="A53" s="25">
        <f t="shared" si="0"/>
        <v>48</v>
      </c>
      <c r="B53" s="86"/>
      <c r="C53" s="86"/>
      <c r="D53" s="86"/>
      <c r="E53" s="86"/>
      <c r="F53" s="86"/>
      <c r="G53" s="86"/>
      <c r="H53" s="86"/>
      <c r="I53" s="86"/>
      <c r="J53" s="86"/>
      <c r="K53" s="86"/>
      <c r="L53" s="86"/>
      <c r="M53" s="86"/>
      <c r="N53" s="86"/>
      <c r="O53" s="86"/>
      <c r="P53" s="86"/>
      <c r="Q53" s="85"/>
      <c r="R53" s="85"/>
      <c r="S53" s="86"/>
      <c r="T53" s="86"/>
      <c r="U53" s="86"/>
      <c r="V53" s="86"/>
      <c r="W53" s="86"/>
      <c r="X53" s="86"/>
      <c r="Y53" s="86"/>
      <c r="Z53" s="86"/>
      <c r="AA53" s="86"/>
      <c r="AB53" s="86"/>
      <c r="AC53" s="86"/>
      <c r="AD53" s="86"/>
      <c r="AE53" s="86"/>
      <c r="AF53" s="86"/>
      <c r="AG53" s="86"/>
      <c r="AH53" s="86"/>
      <c r="AI53" s="86"/>
      <c r="AJ53" s="86"/>
      <c r="AK53" s="86"/>
      <c r="AL53" s="86"/>
      <c r="AM53" s="86"/>
      <c r="AN53" s="86"/>
      <c r="AO53" s="86"/>
      <c r="AP53" s="86"/>
      <c r="AQ53" s="86"/>
      <c r="AR53" s="85"/>
      <c r="AS53" s="85"/>
      <c r="AT53" s="85"/>
      <c r="AU53" s="85"/>
      <c r="AV53" s="85"/>
      <c r="AW53" s="85"/>
      <c r="AX53" s="85"/>
      <c r="AY53" s="85"/>
      <c r="AZ53" s="85"/>
      <c r="BA53" s="85"/>
      <c r="BB53" s="85"/>
      <c r="BC53" s="85"/>
      <c r="BD53" s="85"/>
      <c r="BE53" s="85"/>
      <c r="BF53" s="85"/>
    </row>
    <row r="54" spans="1:58">
      <c r="A54" s="25">
        <f t="shared" si="0"/>
        <v>49</v>
      </c>
      <c r="B54" s="86"/>
      <c r="C54" s="86"/>
      <c r="D54" s="86"/>
      <c r="E54" s="86"/>
      <c r="F54" s="86"/>
      <c r="G54" s="86"/>
      <c r="H54" s="86"/>
      <c r="I54" s="86"/>
      <c r="J54" s="86"/>
      <c r="K54" s="86"/>
      <c r="L54" s="86"/>
      <c r="M54" s="86"/>
      <c r="N54" s="86"/>
      <c r="O54" s="86"/>
      <c r="P54" s="86"/>
      <c r="Q54" s="85"/>
      <c r="R54" s="85"/>
      <c r="S54" s="86"/>
      <c r="T54" s="86"/>
      <c r="U54" s="86"/>
      <c r="V54" s="86"/>
      <c r="W54" s="86"/>
      <c r="X54" s="86"/>
      <c r="Y54" s="86"/>
      <c r="Z54" s="86"/>
      <c r="AA54" s="86"/>
      <c r="AB54" s="86"/>
      <c r="AC54" s="86"/>
      <c r="AD54" s="86"/>
      <c r="AE54" s="86"/>
      <c r="AF54" s="86"/>
      <c r="AG54" s="86"/>
      <c r="AH54" s="86"/>
      <c r="AI54" s="86"/>
      <c r="AJ54" s="86"/>
      <c r="AK54" s="86"/>
      <c r="AL54" s="86"/>
      <c r="AM54" s="86"/>
      <c r="AN54" s="86"/>
      <c r="AO54" s="86"/>
      <c r="AP54" s="86"/>
      <c r="AQ54" s="86"/>
      <c r="AR54" s="85"/>
      <c r="AS54" s="85"/>
      <c r="AT54" s="85"/>
      <c r="AU54" s="85"/>
      <c r="AV54" s="85"/>
      <c r="AW54" s="85"/>
      <c r="AX54" s="85"/>
      <c r="AY54" s="85"/>
      <c r="AZ54" s="85"/>
      <c r="BA54" s="85"/>
      <c r="BB54" s="85"/>
      <c r="BC54" s="85"/>
      <c r="BD54" s="85"/>
      <c r="BE54" s="85"/>
      <c r="BF54" s="85"/>
    </row>
  </sheetData>
  <mergeCells count="416">
    <mergeCell ref="L5:P5"/>
    <mergeCell ref="AB5:AI5"/>
    <mergeCell ref="AJ5:AQ5"/>
    <mergeCell ref="Q5:R5"/>
    <mergeCell ref="U5:AA5"/>
    <mergeCell ref="S5:T5"/>
    <mergeCell ref="B5:K5"/>
    <mergeCell ref="A1:F1"/>
    <mergeCell ref="A2:F2"/>
    <mergeCell ref="G1:X1"/>
    <mergeCell ref="Y1:AD1"/>
    <mergeCell ref="AE1:AN1"/>
    <mergeCell ref="G2:X2"/>
    <mergeCell ref="Y2:AD2"/>
    <mergeCell ref="AE2:AN2"/>
    <mergeCell ref="U54:AA54"/>
    <mergeCell ref="AB54:AI54"/>
    <mergeCell ref="AJ54:AQ54"/>
    <mergeCell ref="B54:K54"/>
    <mergeCell ref="L54:P54"/>
    <mergeCell ref="Q54:R54"/>
    <mergeCell ref="S54:T54"/>
    <mergeCell ref="U52:AA52"/>
    <mergeCell ref="AB52:AI52"/>
    <mergeCell ref="AJ52:AQ52"/>
    <mergeCell ref="B52:K52"/>
    <mergeCell ref="L52:P52"/>
    <mergeCell ref="Q52:R52"/>
    <mergeCell ref="S52:T52"/>
    <mergeCell ref="U53:AA53"/>
    <mergeCell ref="AB53:AI53"/>
    <mergeCell ref="AJ53:AQ53"/>
    <mergeCell ref="B53:K53"/>
    <mergeCell ref="L53:P53"/>
    <mergeCell ref="Q53:R53"/>
    <mergeCell ref="S53:T53"/>
    <mergeCell ref="U51:AA51"/>
    <mergeCell ref="AB51:AI51"/>
    <mergeCell ref="AJ51:AQ51"/>
    <mergeCell ref="B51:K51"/>
    <mergeCell ref="L51:P51"/>
    <mergeCell ref="Q51:R51"/>
    <mergeCell ref="S51:T51"/>
    <mergeCell ref="AR50:BF50"/>
    <mergeCell ref="AR51:BF51"/>
    <mergeCell ref="AR48:BF48"/>
    <mergeCell ref="AR49:BF49"/>
    <mergeCell ref="U50:AA50"/>
    <mergeCell ref="AB50:AI50"/>
    <mergeCell ref="AJ50:AQ50"/>
    <mergeCell ref="B50:K50"/>
    <mergeCell ref="L50:P50"/>
    <mergeCell ref="Q50:R50"/>
    <mergeCell ref="S50:T50"/>
    <mergeCell ref="U48:AA48"/>
    <mergeCell ref="AB48:AI48"/>
    <mergeCell ref="AJ48:AQ48"/>
    <mergeCell ref="B48:K48"/>
    <mergeCell ref="L48:P48"/>
    <mergeCell ref="Q48:R48"/>
    <mergeCell ref="S48:T48"/>
    <mergeCell ref="U49:AA49"/>
    <mergeCell ref="AB49:AI49"/>
    <mergeCell ref="AJ49:AQ49"/>
    <mergeCell ref="B49:K49"/>
    <mergeCell ref="L49:P49"/>
    <mergeCell ref="Q49:R49"/>
    <mergeCell ref="S49:T49"/>
    <mergeCell ref="U46:AA46"/>
    <mergeCell ref="AB46:AI46"/>
    <mergeCell ref="AJ46:AQ46"/>
    <mergeCell ref="B46:K46"/>
    <mergeCell ref="L46:P46"/>
    <mergeCell ref="Q46:R46"/>
    <mergeCell ref="S46:T46"/>
    <mergeCell ref="U47:AA47"/>
    <mergeCell ref="AB47:AI47"/>
    <mergeCell ref="AJ47:AQ47"/>
    <mergeCell ref="B47:K47"/>
    <mergeCell ref="L47:P47"/>
    <mergeCell ref="Q47:R47"/>
    <mergeCell ref="S47:T47"/>
    <mergeCell ref="U44:AA44"/>
    <mergeCell ref="AB44:AI44"/>
    <mergeCell ref="AJ44:AQ44"/>
    <mergeCell ref="B44:K44"/>
    <mergeCell ref="L44:P44"/>
    <mergeCell ref="Q44:R44"/>
    <mergeCell ref="S44:T44"/>
    <mergeCell ref="U45:AA45"/>
    <mergeCell ref="AB45:AI45"/>
    <mergeCell ref="AJ45:AQ45"/>
    <mergeCell ref="B45:K45"/>
    <mergeCell ref="L45:P45"/>
    <mergeCell ref="Q45:R45"/>
    <mergeCell ref="S45:T45"/>
    <mergeCell ref="U42:AA42"/>
    <mergeCell ref="AB42:AI42"/>
    <mergeCell ref="AJ42:AQ42"/>
    <mergeCell ref="B42:K42"/>
    <mergeCell ref="L42:P42"/>
    <mergeCell ref="Q42:R42"/>
    <mergeCell ref="S42:T42"/>
    <mergeCell ref="U43:AA43"/>
    <mergeCell ref="AB43:AI43"/>
    <mergeCell ref="AJ43:AQ43"/>
    <mergeCell ref="B43:K43"/>
    <mergeCell ref="L43:P43"/>
    <mergeCell ref="Q43:R43"/>
    <mergeCell ref="S43:T43"/>
    <mergeCell ref="U40:AA40"/>
    <mergeCell ref="AB40:AI40"/>
    <mergeCell ref="AJ40:AQ40"/>
    <mergeCell ref="B40:K40"/>
    <mergeCell ref="L40:P40"/>
    <mergeCell ref="Q40:R40"/>
    <mergeCell ref="S40:T40"/>
    <mergeCell ref="U41:AA41"/>
    <mergeCell ref="AB41:AI41"/>
    <mergeCell ref="AJ41:AQ41"/>
    <mergeCell ref="B41:K41"/>
    <mergeCell ref="L41:P41"/>
    <mergeCell ref="Q41:R41"/>
    <mergeCell ref="S41:T41"/>
    <mergeCell ref="U38:AA38"/>
    <mergeCell ref="AB38:AI38"/>
    <mergeCell ref="AJ38:AQ38"/>
    <mergeCell ref="B38:K38"/>
    <mergeCell ref="L38:P38"/>
    <mergeCell ref="Q38:R38"/>
    <mergeCell ref="S38:T38"/>
    <mergeCell ref="U39:AA39"/>
    <mergeCell ref="AB39:AI39"/>
    <mergeCell ref="AJ39:AQ39"/>
    <mergeCell ref="B39:K39"/>
    <mergeCell ref="L39:P39"/>
    <mergeCell ref="Q39:R39"/>
    <mergeCell ref="S39:T39"/>
    <mergeCell ref="U36:AA36"/>
    <mergeCell ref="AB36:AI36"/>
    <mergeCell ref="AJ36:AQ36"/>
    <mergeCell ref="B36:K36"/>
    <mergeCell ref="L36:P36"/>
    <mergeCell ref="Q36:R36"/>
    <mergeCell ref="S36:T36"/>
    <mergeCell ref="U37:AA37"/>
    <mergeCell ref="AB37:AI37"/>
    <mergeCell ref="AJ37:AQ37"/>
    <mergeCell ref="B37:K37"/>
    <mergeCell ref="L37:P37"/>
    <mergeCell ref="Q37:R37"/>
    <mergeCell ref="S37:T37"/>
    <mergeCell ref="U34:AA34"/>
    <mergeCell ref="AB34:AI34"/>
    <mergeCell ref="AJ34:AQ34"/>
    <mergeCell ref="B34:K34"/>
    <mergeCell ref="L34:P34"/>
    <mergeCell ref="Q34:R34"/>
    <mergeCell ref="S34:T34"/>
    <mergeCell ref="U35:AA35"/>
    <mergeCell ref="AB35:AI35"/>
    <mergeCell ref="AJ35:AQ35"/>
    <mergeCell ref="B35:K35"/>
    <mergeCell ref="L35:P35"/>
    <mergeCell ref="Q35:R35"/>
    <mergeCell ref="S35:T35"/>
    <mergeCell ref="U32:AA32"/>
    <mergeCell ref="AB32:AI32"/>
    <mergeCell ref="AJ32:AQ32"/>
    <mergeCell ref="B32:K32"/>
    <mergeCell ref="L32:P32"/>
    <mergeCell ref="Q32:R32"/>
    <mergeCell ref="S32:T32"/>
    <mergeCell ref="U33:AA33"/>
    <mergeCell ref="AB33:AI33"/>
    <mergeCell ref="AJ33:AQ33"/>
    <mergeCell ref="B33:K33"/>
    <mergeCell ref="L33:P33"/>
    <mergeCell ref="Q33:R33"/>
    <mergeCell ref="S33:T33"/>
    <mergeCell ref="B30:K30"/>
    <mergeCell ref="L30:P30"/>
    <mergeCell ref="Q30:R30"/>
    <mergeCell ref="S30:T30"/>
    <mergeCell ref="U30:AA30"/>
    <mergeCell ref="AB30:AI30"/>
    <mergeCell ref="AJ30:AQ30"/>
    <mergeCell ref="U31:AA31"/>
    <mergeCell ref="AB31:AI31"/>
    <mergeCell ref="AJ31:AQ31"/>
    <mergeCell ref="B31:K31"/>
    <mergeCell ref="L31:P31"/>
    <mergeCell ref="Q31:R31"/>
    <mergeCell ref="S31:T31"/>
    <mergeCell ref="B28:K28"/>
    <mergeCell ref="L28:P28"/>
    <mergeCell ref="Q28:R28"/>
    <mergeCell ref="S28:T28"/>
    <mergeCell ref="U28:AA28"/>
    <mergeCell ref="AB28:AI28"/>
    <mergeCell ref="AJ28:AQ28"/>
    <mergeCell ref="AJ29:AQ29"/>
    <mergeCell ref="S29:T29"/>
    <mergeCell ref="AB29:AI29"/>
    <mergeCell ref="U22:AA22"/>
    <mergeCell ref="U23:AA23"/>
    <mergeCell ref="AB23:AI23"/>
    <mergeCell ref="AJ23:AQ23"/>
    <mergeCell ref="L23:P23"/>
    <mergeCell ref="Q23:R23"/>
    <mergeCell ref="S23:T23"/>
    <mergeCell ref="AB22:AI22"/>
    <mergeCell ref="AJ22:AQ22"/>
    <mergeCell ref="S22:T22"/>
    <mergeCell ref="S19:T19"/>
    <mergeCell ref="U19:AA19"/>
    <mergeCell ref="AB19:AI19"/>
    <mergeCell ref="AJ19:AQ19"/>
    <mergeCell ref="Q16:R16"/>
    <mergeCell ref="AJ18:AQ18"/>
    <mergeCell ref="AJ14:AQ14"/>
    <mergeCell ref="S18:T18"/>
    <mergeCell ref="S17:T17"/>
    <mergeCell ref="AB18:AI18"/>
    <mergeCell ref="U18:AA18"/>
    <mergeCell ref="U14:AA14"/>
    <mergeCell ref="S14:T14"/>
    <mergeCell ref="S15:T15"/>
    <mergeCell ref="S21:T21"/>
    <mergeCell ref="U21:AA21"/>
    <mergeCell ref="L20:P20"/>
    <mergeCell ref="Q20:R20"/>
    <mergeCell ref="S20:T20"/>
    <mergeCell ref="U20:AA20"/>
    <mergeCell ref="AB21:AI21"/>
    <mergeCell ref="AJ21:AQ21"/>
    <mergeCell ref="AJ20:AQ20"/>
    <mergeCell ref="U24:AA24"/>
    <mergeCell ref="AB24:AI24"/>
    <mergeCell ref="AB16:AI16"/>
    <mergeCell ref="AB20:AI20"/>
    <mergeCell ref="AB6:AI6"/>
    <mergeCell ref="B12:K12"/>
    <mergeCell ref="B13:K13"/>
    <mergeCell ref="L15:P15"/>
    <mergeCell ref="L16:P16"/>
    <mergeCell ref="B6:K6"/>
    <mergeCell ref="B7:K7"/>
    <mergeCell ref="B10:K10"/>
    <mergeCell ref="B11:K11"/>
    <mergeCell ref="B8:K8"/>
    <mergeCell ref="B9:K9"/>
    <mergeCell ref="L10:P10"/>
    <mergeCell ref="L11:P11"/>
    <mergeCell ref="L12:P12"/>
    <mergeCell ref="L13:P13"/>
    <mergeCell ref="B14:K14"/>
    <mergeCell ref="L14:P14"/>
    <mergeCell ref="B15:K15"/>
    <mergeCell ref="B16:K16"/>
    <mergeCell ref="L6:P6"/>
    <mergeCell ref="L7:P7"/>
    <mergeCell ref="L8:P8"/>
    <mergeCell ref="L9:P9"/>
    <mergeCell ref="Q10:R10"/>
    <mergeCell ref="Q11:R11"/>
    <mergeCell ref="Q12:R12"/>
    <mergeCell ref="Q13:R13"/>
    <mergeCell ref="Q6:R6"/>
    <mergeCell ref="Q7:R7"/>
    <mergeCell ref="Q8:R8"/>
    <mergeCell ref="Q9:R9"/>
    <mergeCell ref="AJ24:AQ24"/>
    <mergeCell ref="B29:K29"/>
    <mergeCell ref="L29:P29"/>
    <mergeCell ref="Q29:R29"/>
    <mergeCell ref="B25:K25"/>
    <mergeCell ref="B26:K26"/>
    <mergeCell ref="S24:T24"/>
    <mergeCell ref="L24:P24"/>
    <mergeCell ref="Q24:R24"/>
    <mergeCell ref="L26:P26"/>
    <mergeCell ref="Q26:R26"/>
    <mergeCell ref="S26:T26"/>
    <mergeCell ref="U26:AA26"/>
    <mergeCell ref="AB26:AI26"/>
    <mergeCell ref="AJ26:AQ26"/>
    <mergeCell ref="AJ25:AQ25"/>
    <mergeCell ref="AJ27:AQ27"/>
    <mergeCell ref="S25:T25"/>
    <mergeCell ref="U25:AA25"/>
    <mergeCell ref="AB25:AI25"/>
    <mergeCell ref="S27:T27"/>
    <mergeCell ref="U27:AA27"/>
    <mergeCell ref="AB27:AI27"/>
    <mergeCell ref="U29:AA29"/>
    <mergeCell ref="B27:K27"/>
    <mergeCell ref="L27:P27"/>
    <mergeCell ref="Q27:R27"/>
    <mergeCell ref="B24:K24"/>
    <mergeCell ref="L25:P25"/>
    <mergeCell ref="Q25:R25"/>
    <mergeCell ref="Q17:R17"/>
    <mergeCell ref="B20:K20"/>
    <mergeCell ref="B22:K22"/>
    <mergeCell ref="L22:P22"/>
    <mergeCell ref="Q22:R22"/>
    <mergeCell ref="B23:K23"/>
    <mergeCell ref="B21:K21"/>
    <mergeCell ref="B17:K17"/>
    <mergeCell ref="B18:K18"/>
    <mergeCell ref="B19:K19"/>
    <mergeCell ref="L19:P19"/>
    <mergeCell ref="Q19:R19"/>
    <mergeCell ref="L21:P21"/>
    <mergeCell ref="Q21:R21"/>
    <mergeCell ref="L17:P17"/>
    <mergeCell ref="L18:P18"/>
    <mergeCell ref="Q18:R18"/>
    <mergeCell ref="S16:T16"/>
    <mergeCell ref="U16:AA16"/>
    <mergeCell ref="U17:AA17"/>
    <mergeCell ref="Q14:R14"/>
    <mergeCell ref="Q15:R15"/>
    <mergeCell ref="AB17:AI17"/>
    <mergeCell ref="U15:AA15"/>
    <mergeCell ref="AJ16:AQ16"/>
    <mergeCell ref="S6:T6"/>
    <mergeCell ref="AB7:AI7"/>
    <mergeCell ref="U7:AA7"/>
    <mergeCell ref="U8:AA8"/>
    <mergeCell ref="U9:AA9"/>
    <mergeCell ref="U10:AA10"/>
    <mergeCell ref="AB14:AI14"/>
    <mergeCell ref="AB15:AI15"/>
    <mergeCell ref="AB8:AI8"/>
    <mergeCell ref="AB9:AI9"/>
    <mergeCell ref="AB10:AI10"/>
    <mergeCell ref="AB11:AI11"/>
    <mergeCell ref="AB12:AI12"/>
    <mergeCell ref="AB13:AI13"/>
    <mergeCell ref="U11:AA11"/>
    <mergeCell ref="U12:AA12"/>
    <mergeCell ref="U13:AA13"/>
    <mergeCell ref="U6:AA6"/>
    <mergeCell ref="S7:T7"/>
    <mergeCell ref="S8:T8"/>
    <mergeCell ref="S13:T13"/>
    <mergeCell ref="S10:T10"/>
    <mergeCell ref="S11:T11"/>
    <mergeCell ref="S9:T9"/>
    <mergeCell ref="AX1:BA1"/>
    <mergeCell ref="AR8:BF8"/>
    <mergeCell ref="AR9:BF9"/>
    <mergeCell ref="AR10:BF10"/>
    <mergeCell ref="AR11:BF11"/>
    <mergeCell ref="AR12:BF12"/>
    <mergeCell ref="AR13:BF13"/>
    <mergeCell ref="S12:T12"/>
    <mergeCell ref="BB1:BF1"/>
    <mergeCell ref="AX2:BA2"/>
    <mergeCell ref="BB2:BF2"/>
    <mergeCell ref="AS1:AW1"/>
    <mergeCell ref="AS2:AW2"/>
    <mergeCell ref="AO1:AR1"/>
    <mergeCell ref="AO2:AR2"/>
    <mergeCell ref="AJ17:AQ17"/>
    <mergeCell ref="AJ15:AQ15"/>
    <mergeCell ref="AJ12:AQ12"/>
    <mergeCell ref="AJ6:AQ6"/>
    <mergeCell ref="AJ7:AQ7"/>
    <mergeCell ref="AJ8:AQ8"/>
    <mergeCell ref="AJ13:AQ13"/>
    <mergeCell ref="AJ9:AQ9"/>
    <mergeCell ref="AJ10:AQ10"/>
    <mergeCell ref="AJ11:AQ11"/>
    <mergeCell ref="AR14:BF14"/>
    <mergeCell ref="AR15:BF15"/>
    <mergeCell ref="AR16:BF16"/>
    <mergeCell ref="AR17:BF17"/>
    <mergeCell ref="AR5:BF5"/>
    <mergeCell ref="AR6:BF6"/>
    <mergeCell ref="AR7:BF7"/>
    <mergeCell ref="AR18:BF18"/>
    <mergeCell ref="AR19:BF19"/>
    <mergeCell ref="AR20:BF20"/>
    <mergeCell ref="AR21:BF21"/>
    <mergeCell ref="AR22:BF22"/>
    <mergeCell ref="AR23:BF23"/>
    <mergeCell ref="AR24:BF24"/>
    <mergeCell ref="AR25:BF25"/>
    <mergeCell ref="AR26:BF26"/>
    <mergeCell ref="AR52:BF52"/>
    <mergeCell ref="AR53:BF53"/>
    <mergeCell ref="AR54:BF54"/>
    <mergeCell ref="AR27:BF27"/>
    <mergeCell ref="AR28:BF28"/>
    <mergeCell ref="AR29:BF29"/>
    <mergeCell ref="AR30:BF30"/>
    <mergeCell ref="AR31:BF31"/>
    <mergeCell ref="AR32:BF32"/>
    <mergeCell ref="AR33:BF33"/>
    <mergeCell ref="AR34:BF34"/>
    <mergeCell ref="AR35:BF35"/>
    <mergeCell ref="AR36:BF36"/>
    <mergeCell ref="AR37:BF37"/>
    <mergeCell ref="AR38:BF38"/>
    <mergeCell ref="AR39:BF39"/>
    <mergeCell ref="AR40:BF40"/>
    <mergeCell ref="AR41:BF41"/>
    <mergeCell ref="AR42:BF42"/>
    <mergeCell ref="AR43:BF43"/>
    <mergeCell ref="AR44:BF44"/>
    <mergeCell ref="AR45:BF45"/>
    <mergeCell ref="AR46:BF46"/>
    <mergeCell ref="AR47:BF47"/>
  </mergeCells>
  <phoneticPr fontId="1"/>
  <pageMargins left="0.59055118110236227" right="0.39370078740157483" top="0.59055118110236227" bottom="0.59055118110236227" header="0.39370078740157483" footer="0.39370078740157483"/>
  <pageSetup paperSize="9" scale="95" orientation="landscape" horizontalDpi="0" verticalDpi="0"/>
  <headerFooter alignWithMargins="0">
    <oddFooter>&amp;C&amp;8- &amp;P-1 -&amp;R&amp;"明朝,標準"&amp;8Copyright © 2007 sample Corporation. All Rights Reserved.</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BF79"/>
  <sheetViews>
    <sheetView tabSelected="1" zoomScale="140" zoomScaleNormal="140" workbookViewId="0">
      <pane ySplit="3" topLeftCell="A4" activePane="bottomLeft" state="frozen"/>
      <selection sqref="A1:XFD2"/>
      <selection pane="bottomLeft" activeCell="W50" sqref="W49:W50"/>
    </sheetView>
  </sheetViews>
  <sheetFormatPr baseColWidth="10" defaultColWidth="2.6640625" defaultRowHeight="14"/>
  <cols>
    <col min="1" max="16384" width="2.6640625" style="1"/>
  </cols>
  <sheetData>
    <row r="1" spans="1:58">
      <c r="A1" s="60" t="s">
        <v>27</v>
      </c>
      <c r="B1" s="60"/>
      <c r="C1" s="60"/>
      <c r="D1" s="60"/>
      <c r="E1" s="60"/>
      <c r="F1" s="60"/>
      <c r="G1" s="67" t="str">
        <f ca="1">IF(ISBLANK(改訂履歴!G1),"",(改訂履歴!G1))</f>
        <v>DOC00001_詳細設計書_MIPG00001_テトリス_VBA</v>
      </c>
      <c r="H1" s="67"/>
      <c r="I1" s="67"/>
      <c r="J1" s="67"/>
      <c r="K1" s="67"/>
      <c r="L1" s="67"/>
      <c r="M1" s="67"/>
      <c r="N1" s="67"/>
      <c r="O1" s="67"/>
      <c r="P1" s="67"/>
      <c r="Q1" s="67"/>
      <c r="R1" s="67"/>
      <c r="S1" s="67"/>
      <c r="T1" s="67"/>
      <c r="U1" s="67"/>
      <c r="V1" s="67"/>
      <c r="W1" s="67"/>
      <c r="X1" s="67"/>
      <c r="Y1" s="60" t="s">
        <v>28</v>
      </c>
      <c r="Z1" s="60"/>
      <c r="AA1" s="60"/>
      <c r="AB1" s="60"/>
      <c r="AC1" s="60"/>
      <c r="AD1" s="60"/>
      <c r="AE1" s="67" t="str">
        <f ca="1">IF(ISBLANK(改訂履歴!$AE$1),"",(改訂履歴!$AE$1))</f>
        <v>DOC00001</v>
      </c>
      <c r="AF1" s="67"/>
      <c r="AG1" s="67"/>
      <c r="AH1" s="67"/>
      <c r="AI1" s="67"/>
      <c r="AJ1" s="67"/>
      <c r="AK1" s="67"/>
      <c r="AL1" s="67"/>
      <c r="AM1" s="67"/>
      <c r="AN1" s="67"/>
      <c r="AO1" s="60" t="s">
        <v>30</v>
      </c>
      <c r="AP1" s="60"/>
      <c r="AQ1" s="60"/>
      <c r="AR1" s="60"/>
      <c r="AS1" s="61" t="str">
        <f>IF(ISBLANK(改訂履歴!AS1),"",(改訂履歴!AS1))</f>
        <v>第1版</v>
      </c>
      <c r="AT1" s="62"/>
      <c r="AU1" s="62"/>
      <c r="AV1" s="62"/>
      <c r="AW1" s="63"/>
      <c r="AX1" s="60" t="s">
        <v>32</v>
      </c>
      <c r="AY1" s="60"/>
      <c r="AZ1" s="60"/>
      <c r="BA1" s="60"/>
      <c r="BB1" s="71" t="str">
        <f ca="1">IF(ISBLANK(改訂履歴!BB1),"",(改訂履歴!BB1))</f>
        <v>水谷</v>
      </c>
      <c r="BC1" s="72"/>
      <c r="BD1" s="72"/>
      <c r="BE1" s="72"/>
      <c r="BF1" s="73"/>
    </row>
    <row r="2" spans="1:58">
      <c r="A2" s="60" t="s">
        <v>0</v>
      </c>
      <c r="B2" s="60"/>
      <c r="C2" s="60"/>
      <c r="D2" s="60"/>
      <c r="E2" s="60"/>
      <c r="F2" s="60"/>
      <c r="G2" s="67" t="str">
        <f ca="1">IF(ISBLANK(改訂履歴!G2),"",(改訂履歴!G2))</f>
        <v>テトリス_VBA</v>
      </c>
      <c r="H2" s="67"/>
      <c r="I2" s="67"/>
      <c r="J2" s="67"/>
      <c r="K2" s="67"/>
      <c r="L2" s="67"/>
      <c r="M2" s="67"/>
      <c r="N2" s="67"/>
      <c r="O2" s="67"/>
      <c r="P2" s="67"/>
      <c r="Q2" s="67"/>
      <c r="R2" s="67"/>
      <c r="S2" s="67"/>
      <c r="T2" s="67"/>
      <c r="U2" s="67"/>
      <c r="V2" s="67"/>
      <c r="W2" s="67"/>
      <c r="X2" s="67"/>
      <c r="Y2" s="60" t="s">
        <v>4</v>
      </c>
      <c r="Z2" s="60"/>
      <c r="AA2" s="60"/>
      <c r="AB2" s="60"/>
      <c r="AC2" s="60"/>
      <c r="AD2" s="60"/>
      <c r="AE2" s="67" t="str">
        <f ca="1">IF(ISBLANK(改訂履歴!$AE$2),"",(改訂履歴!$AE$2))</f>
        <v>MIPG00001</v>
      </c>
      <c r="AF2" s="67"/>
      <c r="AG2" s="67"/>
      <c r="AH2" s="67"/>
      <c r="AI2" s="67"/>
      <c r="AJ2" s="67"/>
      <c r="AK2" s="67"/>
      <c r="AL2" s="67"/>
      <c r="AM2" s="67"/>
      <c r="AN2" s="67"/>
      <c r="AO2" s="60" t="s">
        <v>31</v>
      </c>
      <c r="AP2" s="60"/>
      <c r="AQ2" s="60"/>
      <c r="AR2" s="60"/>
      <c r="AS2" s="64">
        <f>IF(ISBLANK(改訂履歴!AS2),"",(改訂履歴!AS2))</f>
        <v>44871</v>
      </c>
      <c r="AT2" s="65"/>
      <c r="AU2" s="65"/>
      <c r="AV2" s="65"/>
      <c r="AW2" s="66"/>
      <c r="AX2" s="60" t="s">
        <v>33</v>
      </c>
      <c r="AY2" s="60"/>
      <c r="AZ2" s="60"/>
      <c r="BA2" s="60"/>
      <c r="BB2" s="64">
        <f ca="1">IF(ISBLANK(改訂履歴!BB2),"",(改訂履歴!BB2))</f>
        <v>44871</v>
      </c>
      <c r="BC2" s="65"/>
      <c r="BD2" s="65"/>
      <c r="BE2" s="65"/>
      <c r="BF2" s="66"/>
    </row>
    <row r="3" spans="1:58">
      <c r="B3" s="2"/>
    </row>
    <row r="4" spans="1:58">
      <c r="A4" s="3" t="s">
        <v>23</v>
      </c>
      <c r="B4" s="4"/>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4"/>
      <c r="AX4" s="4"/>
      <c r="AY4" s="4"/>
      <c r="AZ4" s="4"/>
      <c r="BA4" s="4"/>
      <c r="BB4" s="4"/>
      <c r="BC4" s="4"/>
      <c r="BD4" s="4"/>
      <c r="BE4" s="4"/>
      <c r="BF4" s="5"/>
    </row>
    <row r="5" spans="1:58">
      <c r="A5" s="8" t="s">
        <v>77</v>
      </c>
      <c r="B5" s="9"/>
      <c r="C5" s="9"/>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10"/>
    </row>
    <row r="6" spans="1:58">
      <c r="A6" s="11" t="s">
        <v>78</v>
      </c>
      <c r="B6" s="12"/>
      <c r="C6" s="12"/>
      <c r="D6" s="12"/>
      <c r="E6" s="12"/>
      <c r="F6" s="12"/>
      <c r="G6" s="12"/>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c r="AM6" s="12"/>
      <c r="AN6" s="12"/>
      <c r="AO6" s="12"/>
      <c r="AP6" s="12"/>
      <c r="AQ6" s="12"/>
      <c r="AR6" s="12"/>
      <c r="AS6" s="12"/>
      <c r="AT6" s="12"/>
      <c r="AU6" s="12"/>
      <c r="AV6" s="12"/>
      <c r="AW6" s="12"/>
      <c r="AX6" s="12"/>
      <c r="AY6" s="12"/>
      <c r="AZ6" s="12"/>
      <c r="BA6" s="12"/>
      <c r="BB6" s="12"/>
      <c r="BC6" s="12"/>
      <c r="BD6" s="12"/>
      <c r="BE6" s="12"/>
      <c r="BF6" s="13"/>
    </row>
    <row r="7" spans="1:58">
      <c r="A7" s="11"/>
      <c r="B7" s="12"/>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c r="AZ7" s="12"/>
      <c r="BA7" s="12"/>
      <c r="BB7" s="12"/>
      <c r="BC7" s="12"/>
      <c r="BD7" s="12"/>
      <c r="BE7" s="12"/>
      <c r="BF7" s="13"/>
    </row>
    <row r="8" spans="1:58">
      <c r="A8" s="3" t="s">
        <v>79</v>
      </c>
      <c r="B8" s="4"/>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c r="AQ8" s="4"/>
      <c r="AR8" s="4"/>
      <c r="AS8" s="4"/>
      <c r="AT8" s="4"/>
      <c r="AU8" s="4"/>
      <c r="AV8" s="4"/>
      <c r="AW8" s="4"/>
      <c r="AX8" s="4"/>
      <c r="AY8" s="4"/>
      <c r="AZ8" s="4"/>
      <c r="BA8" s="4"/>
      <c r="BB8" s="4"/>
      <c r="BC8" s="4"/>
      <c r="BD8" s="4"/>
      <c r="BE8" s="4"/>
      <c r="BF8" s="5"/>
    </row>
    <row r="9" spans="1:58">
      <c r="A9" s="8"/>
      <c r="B9" s="9"/>
      <c r="C9" s="9"/>
      <c r="D9" s="9"/>
      <c r="E9" s="9"/>
      <c r="F9" s="9"/>
      <c r="G9" s="9"/>
      <c r="H9" s="9"/>
      <c r="I9" s="9"/>
      <c r="J9" s="9"/>
      <c r="K9" s="9"/>
      <c r="L9" s="9"/>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10"/>
    </row>
    <row r="10" spans="1:58">
      <c r="A10" s="11"/>
      <c r="B10" s="12" t="s">
        <v>95</v>
      </c>
      <c r="C10" s="12"/>
      <c r="D10" s="12"/>
      <c r="E10" s="12"/>
      <c r="F10" s="12"/>
      <c r="G10" s="12"/>
      <c r="H10" s="12"/>
      <c r="I10" s="12"/>
      <c r="J10" s="12"/>
      <c r="K10" s="12"/>
      <c r="L10" s="12"/>
      <c r="M10" s="12"/>
      <c r="N10" s="12"/>
      <c r="O10" s="12"/>
      <c r="P10" s="12"/>
      <c r="Q10" s="12"/>
      <c r="R10" s="12"/>
      <c r="S10" s="12"/>
      <c r="T10" s="12"/>
      <c r="U10" s="12"/>
      <c r="V10" s="12"/>
      <c r="W10" s="12"/>
      <c r="X10" s="12"/>
      <c r="Y10" s="12"/>
      <c r="Z10" s="12"/>
      <c r="AA10" s="12"/>
      <c r="AB10" s="12"/>
      <c r="AC10" s="12"/>
      <c r="AD10" s="12"/>
      <c r="AE10" s="12"/>
      <c r="AF10" s="12"/>
      <c r="AG10" s="12"/>
      <c r="AH10" s="12"/>
      <c r="AI10" s="12"/>
      <c r="AJ10" s="12"/>
      <c r="AK10" s="12"/>
      <c r="AL10" s="12"/>
      <c r="AM10" s="12"/>
      <c r="AN10" s="12"/>
      <c r="AO10" s="12"/>
      <c r="AP10" s="12"/>
      <c r="AQ10" s="12"/>
      <c r="AR10" s="12"/>
      <c r="AS10" s="12"/>
      <c r="AT10" s="12"/>
      <c r="AU10" s="12"/>
      <c r="AV10" s="12"/>
      <c r="AW10" s="12"/>
      <c r="AX10" s="12"/>
      <c r="AY10" s="12"/>
      <c r="AZ10" s="12"/>
      <c r="BA10" s="12"/>
      <c r="BB10" s="12"/>
      <c r="BC10" s="12"/>
      <c r="BD10" s="12"/>
      <c r="BE10" s="12"/>
      <c r="BF10" s="13"/>
    </row>
    <row r="11" spans="1:58">
      <c r="A11" s="11"/>
      <c r="C11" s="12" t="s">
        <v>99</v>
      </c>
      <c r="D11" s="12" t="s">
        <v>96</v>
      </c>
      <c r="E11" s="12"/>
      <c r="F11" s="12"/>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c r="AN11" s="12"/>
      <c r="AO11" s="12"/>
      <c r="AP11" s="12"/>
      <c r="AQ11" s="12"/>
      <c r="AR11" s="12"/>
      <c r="AS11" s="12"/>
      <c r="AT11" s="12"/>
      <c r="AU11" s="12"/>
      <c r="AV11" s="12"/>
      <c r="AW11" s="12"/>
      <c r="AX11" s="12"/>
      <c r="AY11" s="12"/>
      <c r="AZ11" s="12"/>
      <c r="BA11" s="12"/>
      <c r="BB11" s="12"/>
      <c r="BC11" s="12"/>
      <c r="BD11" s="12"/>
      <c r="BE11" s="12"/>
      <c r="BF11" s="13"/>
    </row>
    <row r="12" spans="1:58">
      <c r="A12" s="11"/>
      <c r="B12" s="12"/>
      <c r="C12" s="12" t="s">
        <v>99</v>
      </c>
      <c r="D12" s="12" t="s">
        <v>97</v>
      </c>
      <c r="E12" s="12"/>
      <c r="F12" s="12"/>
      <c r="G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c r="AZ12" s="12"/>
      <c r="BA12" s="12"/>
      <c r="BB12" s="12"/>
      <c r="BC12" s="12"/>
      <c r="BD12" s="12"/>
      <c r="BE12" s="12"/>
      <c r="BF12" s="13"/>
    </row>
    <row r="13" spans="1:58">
      <c r="A13" s="11"/>
      <c r="B13" s="12"/>
      <c r="C13" s="12" t="s">
        <v>99</v>
      </c>
      <c r="D13" s="12" t="s">
        <v>98</v>
      </c>
      <c r="E13" s="12"/>
      <c r="F13" s="12"/>
      <c r="G13" s="12"/>
      <c r="H13" s="12"/>
      <c r="I13" s="12"/>
      <c r="J13" s="12"/>
      <c r="K13" s="12"/>
      <c r="L13" s="12"/>
      <c r="M13" s="12"/>
      <c r="N13" s="12"/>
      <c r="O13" s="12"/>
      <c r="P13" s="12"/>
      <c r="Q13" s="12"/>
      <c r="R13" s="12"/>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c r="AU13" s="12"/>
      <c r="AV13" s="12"/>
      <c r="AW13" s="12"/>
      <c r="AX13" s="12"/>
      <c r="AY13" s="12"/>
      <c r="AZ13" s="12"/>
      <c r="BA13" s="12"/>
      <c r="BB13" s="12"/>
      <c r="BC13" s="12"/>
      <c r="BD13" s="12"/>
      <c r="BE13" s="12"/>
      <c r="BF13" s="13"/>
    </row>
    <row r="14" spans="1:58">
      <c r="A14" s="11"/>
      <c r="C14" s="12"/>
      <c r="D14" s="12"/>
      <c r="E14" s="12"/>
      <c r="F14" s="12"/>
      <c r="G14" s="12"/>
      <c r="H14" s="12"/>
      <c r="I14" s="12"/>
      <c r="J14" s="12"/>
      <c r="K14" s="12"/>
      <c r="L14" s="12"/>
      <c r="M14" s="12"/>
      <c r="N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2"/>
      <c r="AN14" s="12"/>
      <c r="AO14" s="12"/>
      <c r="AP14" s="12"/>
      <c r="AQ14" s="12"/>
      <c r="AR14" s="12"/>
      <c r="AS14" s="12"/>
      <c r="AT14" s="12"/>
      <c r="AU14" s="12"/>
      <c r="AV14" s="12"/>
      <c r="AW14" s="12"/>
      <c r="AX14" s="12"/>
      <c r="AY14" s="12"/>
      <c r="AZ14" s="12"/>
      <c r="BA14" s="12"/>
      <c r="BB14" s="12"/>
      <c r="BC14" s="12"/>
      <c r="BD14" s="12"/>
      <c r="BE14" s="12"/>
      <c r="BF14" s="13"/>
    </row>
    <row r="15" spans="1:58">
      <c r="A15" s="20"/>
      <c r="B15" s="21" t="s">
        <v>108</v>
      </c>
      <c r="C15" s="21"/>
      <c r="D15" s="21"/>
      <c r="E15" s="21"/>
      <c r="F15" s="21"/>
      <c r="G15" s="21"/>
      <c r="H15" s="21"/>
      <c r="I15" s="21"/>
      <c r="J15" s="21"/>
      <c r="K15" s="21"/>
      <c r="L15" s="21"/>
      <c r="M15" s="21"/>
      <c r="N15" s="21"/>
      <c r="O15" s="21"/>
      <c r="P15" s="21"/>
      <c r="Q15" s="21"/>
      <c r="R15" s="21"/>
      <c r="S15" s="21"/>
      <c r="T15" s="21"/>
      <c r="U15" s="21"/>
      <c r="V15" s="21"/>
      <c r="W15" s="21"/>
      <c r="X15" s="21"/>
      <c r="Y15" s="21"/>
      <c r="Z15" s="21"/>
      <c r="AA15" s="21"/>
      <c r="AB15" s="21"/>
      <c r="AC15" s="21"/>
      <c r="AD15" s="21"/>
      <c r="AE15" s="21"/>
      <c r="AF15" s="21"/>
      <c r="AG15" s="21"/>
      <c r="AH15" s="21"/>
      <c r="AI15" s="21"/>
      <c r="AJ15" s="21"/>
      <c r="AK15" s="21"/>
      <c r="AL15" s="21"/>
      <c r="AM15" s="21"/>
      <c r="AN15" s="21"/>
      <c r="AO15" s="21"/>
      <c r="AP15" s="21"/>
      <c r="AQ15" s="21"/>
      <c r="AR15" s="21"/>
      <c r="AS15" s="21"/>
      <c r="AT15" s="21"/>
      <c r="AU15" s="21"/>
      <c r="AV15" s="21"/>
      <c r="AW15" s="21"/>
      <c r="AX15" s="21"/>
      <c r="AY15" s="21"/>
      <c r="AZ15" s="21"/>
      <c r="BA15" s="21"/>
      <c r="BB15" s="21"/>
      <c r="BC15" s="21"/>
      <c r="BD15" s="21"/>
      <c r="BE15" s="21"/>
      <c r="BF15" s="39"/>
    </row>
    <row r="16" spans="1:58">
      <c r="A16" s="20"/>
      <c r="B16" s="21" t="s">
        <v>99</v>
      </c>
      <c r="C16" s="21" t="s">
        <v>100</v>
      </c>
      <c r="D16" s="21"/>
      <c r="E16" s="21"/>
      <c r="F16" s="21"/>
      <c r="G16" s="21"/>
      <c r="H16" s="21"/>
      <c r="I16" s="21"/>
      <c r="J16" s="21"/>
      <c r="K16" s="21"/>
      <c r="L16" s="21"/>
      <c r="M16" s="21"/>
      <c r="N16" s="21"/>
      <c r="O16" s="21"/>
      <c r="P16" s="21"/>
      <c r="Q16" s="21"/>
      <c r="R16" s="21"/>
      <c r="S16" s="21"/>
      <c r="T16" s="21"/>
      <c r="U16" s="21"/>
      <c r="V16" s="21"/>
      <c r="W16" s="21"/>
      <c r="X16" s="21"/>
      <c r="Y16" s="21"/>
      <c r="Z16" s="21"/>
      <c r="AA16" s="21"/>
      <c r="AB16" s="21"/>
      <c r="AC16" s="21"/>
      <c r="AD16" s="21"/>
      <c r="AE16" s="21"/>
      <c r="AF16" s="21"/>
      <c r="AG16" s="21"/>
      <c r="AH16" s="21"/>
      <c r="AI16" s="21"/>
      <c r="AJ16" s="21"/>
      <c r="AK16" s="21"/>
      <c r="AL16" s="21"/>
      <c r="AM16" s="21"/>
      <c r="AN16" s="21"/>
      <c r="AO16" s="21"/>
      <c r="AP16" s="21"/>
      <c r="AQ16" s="21"/>
      <c r="AR16" s="21"/>
      <c r="AS16" s="21"/>
      <c r="AT16" s="21"/>
      <c r="AU16" s="21"/>
      <c r="AV16" s="21"/>
      <c r="AW16" s="21"/>
      <c r="AX16" s="21"/>
      <c r="AY16" s="21"/>
      <c r="AZ16" s="21"/>
      <c r="BA16" s="21"/>
      <c r="BB16" s="21"/>
      <c r="BC16" s="21"/>
      <c r="BD16" s="21"/>
      <c r="BE16" s="21"/>
      <c r="BF16" s="39"/>
    </row>
    <row r="17" spans="1:58">
      <c r="A17" s="20"/>
      <c r="B17" s="21" t="s">
        <v>99</v>
      </c>
      <c r="C17" s="21" t="s">
        <v>101</v>
      </c>
      <c r="D17" s="21"/>
      <c r="E17" s="21"/>
      <c r="F17" s="21"/>
      <c r="G17" s="21"/>
      <c r="H17" s="21"/>
      <c r="I17" s="21"/>
      <c r="J17" s="21"/>
      <c r="K17" s="21"/>
      <c r="L17" s="21"/>
      <c r="M17" s="21"/>
      <c r="N17" s="21"/>
      <c r="O17" s="21"/>
      <c r="P17" s="21"/>
      <c r="Q17" s="21"/>
      <c r="R17" s="21"/>
      <c r="S17" s="21"/>
      <c r="T17" s="21"/>
      <c r="U17" s="21"/>
      <c r="V17" s="21"/>
      <c r="W17" s="21"/>
      <c r="X17" s="21"/>
      <c r="Y17" s="21"/>
      <c r="Z17" s="21"/>
      <c r="AA17" s="21"/>
      <c r="AB17" s="21"/>
      <c r="AC17" s="21"/>
      <c r="AD17" s="21"/>
      <c r="AE17" s="21"/>
      <c r="AF17" s="21"/>
      <c r="AG17" s="21"/>
      <c r="AH17" s="21"/>
      <c r="AI17" s="21"/>
      <c r="AJ17" s="21"/>
      <c r="AK17" s="21"/>
      <c r="AL17" s="21"/>
      <c r="AM17" s="21"/>
      <c r="AN17" s="21"/>
      <c r="AO17" s="21"/>
      <c r="AP17" s="21"/>
      <c r="AQ17" s="21"/>
      <c r="AR17" s="21"/>
      <c r="AS17" s="21"/>
      <c r="AT17" s="21"/>
      <c r="AU17" s="21"/>
      <c r="AV17" s="21"/>
      <c r="AW17" s="21"/>
      <c r="AX17" s="21"/>
      <c r="AY17" s="21"/>
      <c r="AZ17" s="21"/>
      <c r="BA17" s="21"/>
      <c r="BB17" s="21"/>
      <c r="BC17" s="21"/>
      <c r="BD17" s="21"/>
      <c r="BE17" s="21"/>
      <c r="BF17" s="39"/>
    </row>
    <row r="18" spans="1:58">
      <c r="A18" s="20"/>
      <c r="B18" s="21" t="s">
        <v>99</v>
      </c>
      <c r="C18" s="21" t="s">
        <v>102</v>
      </c>
      <c r="D18" s="21"/>
      <c r="E18" s="21"/>
      <c r="F18" s="21"/>
      <c r="G18" s="21"/>
      <c r="H18" s="21"/>
      <c r="I18" s="21"/>
      <c r="J18" s="21"/>
      <c r="K18" s="21"/>
      <c r="L18" s="21"/>
      <c r="M18" s="21"/>
      <c r="N18" s="21"/>
      <c r="O18" s="21"/>
      <c r="P18" s="21"/>
      <c r="Q18" s="21"/>
      <c r="R18" s="21"/>
      <c r="S18" s="21"/>
      <c r="T18" s="21"/>
      <c r="U18" s="21"/>
      <c r="V18" s="21"/>
      <c r="W18" s="21"/>
      <c r="X18" s="21"/>
      <c r="Y18" s="21"/>
      <c r="Z18" s="21"/>
      <c r="AA18" s="21"/>
      <c r="AB18" s="21"/>
      <c r="AC18" s="21"/>
      <c r="AD18" s="21"/>
      <c r="AE18" s="21"/>
      <c r="AF18" s="21"/>
      <c r="AG18" s="21"/>
      <c r="AH18" s="21"/>
      <c r="AI18" s="21"/>
      <c r="AJ18" s="21"/>
      <c r="AK18" s="21"/>
      <c r="AL18" s="21"/>
      <c r="AM18" s="21"/>
      <c r="AN18" s="21"/>
      <c r="AO18" s="21"/>
      <c r="AP18" s="21"/>
      <c r="AQ18" s="21"/>
      <c r="AR18" s="21"/>
      <c r="AS18" s="21"/>
      <c r="AT18" s="21"/>
      <c r="AU18" s="21"/>
      <c r="AV18" s="21"/>
      <c r="AW18" s="21"/>
      <c r="AX18" s="21"/>
      <c r="AY18" s="21"/>
      <c r="AZ18" s="21"/>
      <c r="BA18" s="21"/>
      <c r="BB18" s="21"/>
      <c r="BC18" s="21"/>
      <c r="BD18" s="21"/>
      <c r="BE18" s="21"/>
      <c r="BF18" s="39"/>
    </row>
    <row r="19" spans="1:58">
      <c r="A19" s="20"/>
      <c r="B19" s="21" t="s">
        <v>99</v>
      </c>
      <c r="C19" s="21" t="s">
        <v>103</v>
      </c>
      <c r="D19" s="21"/>
      <c r="E19" s="21"/>
      <c r="F19" s="21"/>
      <c r="G19" s="21"/>
      <c r="H19" s="21"/>
      <c r="I19" s="21"/>
      <c r="J19" s="21"/>
      <c r="K19" s="21"/>
      <c r="L19" s="21"/>
      <c r="M19" s="21"/>
      <c r="N19" s="21"/>
      <c r="O19" s="21"/>
      <c r="P19" s="21"/>
      <c r="Q19" s="21"/>
      <c r="R19" s="21"/>
      <c r="S19" s="21"/>
      <c r="T19" s="21"/>
      <c r="U19" s="21"/>
      <c r="V19" s="21"/>
      <c r="W19" s="21"/>
      <c r="X19" s="21"/>
      <c r="Y19" s="21"/>
      <c r="Z19" s="21"/>
      <c r="AA19" s="21"/>
      <c r="AB19" s="21"/>
      <c r="AC19" s="21"/>
      <c r="AD19" s="21"/>
      <c r="AE19" s="21"/>
      <c r="AF19" s="21"/>
      <c r="AG19" s="21"/>
      <c r="AH19" s="21"/>
      <c r="AI19" s="21"/>
      <c r="AJ19" s="21"/>
      <c r="AK19" s="21"/>
      <c r="AL19" s="21"/>
      <c r="AM19" s="21"/>
      <c r="AN19" s="21"/>
      <c r="AO19" s="21"/>
      <c r="AP19" s="21"/>
      <c r="AQ19" s="21"/>
      <c r="AR19" s="21"/>
      <c r="AS19" s="21"/>
      <c r="AT19" s="21"/>
      <c r="AU19" s="21"/>
      <c r="AV19" s="21"/>
      <c r="AW19" s="21"/>
      <c r="AX19" s="21"/>
      <c r="AY19" s="21"/>
      <c r="AZ19" s="21"/>
      <c r="BA19" s="21"/>
      <c r="BB19" s="21"/>
      <c r="BC19" s="21"/>
      <c r="BD19" s="21"/>
      <c r="BE19" s="21"/>
      <c r="BF19" s="39"/>
    </row>
    <row r="20" spans="1:58">
      <c r="A20" s="20"/>
      <c r="B20" s="21" t="s">
        <v>99</v>
      </c>
      <c r="C20" s="21" t="s">
        <v>104</v>
      </c>
      <c r="D20" s="21"/>
      <c r="E20" s="21"/>
      <c r="F20" s="21"/>
      <c r="G20" s="21"/>
      <c r="H20" s="21"/>
      <c r="I20" s="21"/>
      <c r="J20" s="21"/>
      <c r="K20" s="21"/>
      <c r="L20" s="21"/>
      <c r="M20" s="21"/>
      <c r="N20" s="21"/>
      <c r="O20" s="21"/>
      <c r="P20" s="21"/>
      <c r="Q20" s="21"/>
      <c r="R20" s="21"/>
      <c r="S20" s="21"/>
      <c r="T20" s="21"/>
      <c r="U20" s="21"/>
      <c r="V20" s="21"/>
      <c r="W20" s="21"/>
      <c r="X20" s="21"/>
      <c r="Y20" s="21"/>
      <c r="Z20" s="21"/>
      <c r="AA20" s="21"/>
      <c r="AB20" s="21"/>
      <c r="AC20" s="21"/>
      <c r="AD20" s="21"/>
      <c r="AE20" s="21"/>
      <c r="AF20" s="21"/>
      <c r="AG20" s="21"/>
      <c r="AH20" s="21"/>
      <c r="AI20" s="21"/>
      <c r="AJ20" s="21"/>
      <c r="AK20" s="21"/>
      <c r="AL20" s="21"/>
      <c r="AM20" s="21"/>
      <c r="AN20" s="21"/>
      <c r="AO20" s="21"/>
      <c r="AP20" s="21"/>
      <c r="AQ20" s="21"/>
      <c r="AR20" s="21"/>
      <c r="AS20" s="21"/>
      <c r="AT20" s="21"/>
      <c r="AU20" s="21"/>
      <c r="AV20" s="21"/>
      <c r="AW20" s="21"/>
      <c r="AX20" s="21"/>
      <c r="AY20" s="21"/>
      <c r="AZ20" s="21"/>
      <c r="BA20" s="21"/>
      <c r="BB20" s="21"/>
      <c r="BC20" s="21"/>
      <c r="BD20" s="21"/>
      <c r="BE20" s="21"/>
      <c r="BF20" s="39"/>
    </row>
    <row r="21" spans="1:58">
      <c r="A21" s="20"/>
      <c r="B21" s="21" t="s">
        <v>99</v>
      </c>
      <c r="C21" s="21" t="s">
        <v>105</v>
      </c>
      <c r="D21" s="21"/>
      <c r="E21" s="21"/>
      <c r="F21" s="21"/>
      <c r="G21" s="21"/>
      <c r="H21" s="21"/>
      <c r="I21" s="21"/>
      <c r="J21" s="21"/>
      <c r="K21" s="21"/>
      <c r="L21" s="21"/>
      <c r="M21" s="21"/>
      <c r="N21" s="21"/>
      <c r="O21" s="21"/>
      <c r="P21" s="21"/>
      <c r="Q21" s="21"/>
      <c r="R21" s="21"/>
      <c r="S21" s="21"/>
      <c r="T21" s="21"/>
      <c r="U21" s="21"/>
      <c r="V21" s="21"/>
      <c r="W21" s="21"/>
      <c r="X21" s="21"/>
      <c r="Y21" s="21"/>
      <c r="Z21" s="21"/>
      <c r="AA21" s="21"/>
      <c r="AB21" s="21"/>
      <c r="AC21" s="21"/>
      <c r="AD21" s="21"/>
      <c r="AE21" s="21"/>
      <c r="AF21" s="21"/>
      <c r="AG21" s="21"/>
      <c r="AH21" s="21"/>
      <c r="AI21" s="21"/>
      <c r="AJ21" s="21"/>
      <c r="AK21" s="21"/>
      <c r="AL21" s="21"/>
      <c r="AM21" s="21"/>
      <c r="AN21" s="21"/>
      <c r="AO21" s="21"/>
      <c r="AP21" s="21"/>
      <c r="AQ21" s="21"/>
      <c r="AR21" s="21"/>
      <c r="AS21" s="21"/>
      <c r="AT21" s="21"/>
      <c r="AU21" s="21"/>
      <c r="AV21" s="21"/>
      <c r="AW21" s="21"/>
      <c r="AX21" s="21"/>
      <c r="AY21" s="21"/>
      <c r="AZ21" s="21"/>
      <c r="BA21" s="21"/>
      <c r="BB21" s="21"/>
      <c r="BC21" s="21"/>
      <c r="BD21" s="21"/>
      <c r="BE21" s="21"/>
      <c r="BF21" s="39"/>
    </row>
    <row r="22" spans="1:58">
      <c r="A22" s="20"/>
      <c r="B22" s="21" t="s">
        <v>99</v>
      </c>
      <c r="C22" s="21" t="s">
        <v>106</v>
      </c>
      <c r="D22" s="21"/>
      <c r="E22" s="21"/>
      <c r="F22" s="21"/>
      <c r="G22" s="21"/>
      <c r="H22" s="21"/>
      <c r="I22" s="21"/>
      <c r="J22" s="21"/>
      <c r="K22" s="21"/>
      <c r="L22" s="21"/>
      <c r="M22" s="21"/>
      <c r="N22" s="21"/>
      <c r="O22" s="21"/>
      <c r="P22" s="21"/>
      <c r="Q22" s="21"/>
      <c r="R22" s="21"/>
      <c r="S22" s="21"/>
      <c r="T22" s="21"/>
      <c r="U22" s="21"/>
      <c r="V22" s="21"/>
      <c r="W22" s="21"/>
      <c r="X22" s="21"/>
      <c r="Y22" s="21"/>
      <c r="Z22" s="21"/>
      <c r="AA22" s="21"/>
      <c r="AB22" s="21"/>
      <c r="AC22" s="21"/>
      <c r="AD22" s="21"/>
      <c r="AE22" s="21"/>
      <c r="AF22" s="21"/>
      <c r="AG22" s="21"/>
      <c r="AH22" s="21"/>
      <c r="AI22" s="21"/>
      <c r="AJ22" s="21"/>
      <c r="AK22" s="21"/>
      <c r="AL22" s="21"/>
      <c r="AM22" s="21"/>
      <c r="AN22" s="21"/>
      <c r="AO22" s="21"/>
      <c r="AP22" s="21"/>
      <c r="AQ22" s="21"/>
      <c r="AR22" s="21"/>
      <c r="AS22" s="21"/>
      <c r="AT22" s="21"/>
      <c r="AU22" s="21"/>
      <c r="AV22" s="21"/>
      <c r="AW22" s="21"/>
      <c r="AX22" s="21"/>
      <c r="AY22" s="21"/>
      <c r="AZ22" s="21"/>
      <c r="BA22" s="21"/>
      <c r="BB22" s="21"/>
      <c r="BC22" s="21"/>
      <c r="BD22" s="21"/>
      <c r="BE22" s="21"/>
      <c r="BF22" s="39"/>
    </row>
    <row r="23" spans="1:58">
      <c r="A23" s="20"/>
      <c r="B23" s="21" t="s">
        <v>99</v>
      </c>
      <c r="C23" s="21" t="s">
        <v>107</v>
      </c>
      <c r="D23" s="21"/>
      <c r="E23" s="21"/>
      <c r="F23" s="21"/>
      <c r="G23" s="21"/>
      <c r="H23" s="21"/>
      <c r="I23" s="21"/>
      <c r="J23" s="21"/>
      <c r="K23" s="21"/>
      <c r="L23" s="21"/>
      <c r="M23" s="21"/>
      <c r="N23" s="21"/>
      <c r="O23" s="21"/>
      <c r="P23" s="21"/>
      <c r="Q23" s="21"/>
      <c r="R23" s="21"/>
      <c r="S23" s="21"/>
      <c r="T23" s="21"/>
      <c r="U23" s="21"/>
      <c r="V23" s="21"/>
      <c r="W23" s="21"/>
      <c r="X23" s="21"/>
      <c r="Y23" s="21"/>
      <c r="Z23" s="21"/>
      <c r="AA23" s="21"/>
      <c r="AB23" s="21"/>
      <c r="AC23" s="21"/>
      <c r="AD23" s="21"/>
      <c r="AE23" s="21"/>
      <c r="AF23" s="21"/>
      <c r="AG23" s="21"/>
      <c r="AH23" s="21"/>
      <c r="AI23" s="21"/>
      <c r="AJ23" s="21"/>
      <c r="AK23" s="21"/>
      <c r="AL23" s="21"/>
      <c r="AM23" s="21"/>
      <c r="AN23" s="21"/>
      <c r="AO23" s="21"/>
      <c r="AP23" s="21"/>
      <c r="AQ23" s="21"/>
      <c r="AR23" s="21"/>
      <c r="AS23" s="21"/>
      <c r="AT23" s="21"/>
      <c r="AU23" s="21"/>
      <c r="AV23" s="21"/>
      <c r="AW23" s="21"/>
      <c r="AX23" s="21"/>
      <c r="AY23" s="21"/>
      <c r="AZ23" s="21"/>
      <c r="BA23" s="21"/>
      <c r="BB23" s="21"/>
      <c r="BC23" s="21"/>
      <c r="BD23" s="21"/>
      <c r="BE23" s="21"/>
      <c r="BF23" s="39"/>
    </row>
    <row r="24" spans="1:58">
      <c r="A24" s="20"/>
      <c r="B24" s="21" t="s">
        <v>109</v>
      </c>
      <c r="C24" s="21"/>
      <c r="D24" s="21"/>
      <c r="E24" s="21"/>
      <c r="F24" s="21"/>
      <c r="G24" s="21"/>
      <c r="H24" s="21"/>
      <c r="I24" s="21"/>
      <c r="J24" s="21"/>
      <c r="K24" s="21"/>
      <c r="L24" s="21"/>
      <c r="M24" s="21"/>
      <c r="N24" s="21"/>
      <c r="O24" s="21"/>
      <c r="P24" s="21"/>
      <c r="Q24" s="21"/>
      <c r="R24" s="21"/>
      <c r="S24" s="21"/>
      <c r="T24" s="21"/>
      <c r="U24" s="21"/>
      <c r="V24" s="21"/>
      <c r="W24" s="21"/>
      <c r="X24" s="21"/>
      <c r="Y24" s="21"/>
      <c r="Z24" s="21"/>
      <c r="AA24" s="21"/>
      <c r="AB24" s="21"/>
      <c r="AC24" s="21"/>
      <c r="AD24" s="21"/>
      <c r="AE24" s="21"/>
      <c r="AF24" s="21"/>
      <c r="AG24" s="21"/>
      <c r="AH24" s="21"/>
      <c r="AI24" s="21"/>
      <c r="AJ24" s="21"/>
      <c r="AK24" s="21"/>
      <c r="AL24" s="21"/>
      <c r="AM24" s="21"/>
      <c r="AN24" s="21"/>
      <c r="AO24" s="21"/>
      <c r="AP24" s="21"/>
      <c r="AQ24" s="21"/>
      <c r="AR24" s="21"/>
      <c r="AS24" s="21"/>
      <c r="AT24" s="21"/>
      <c r="AU24" s="21"/>
      <c r="AV24" s="21"/>
      <c r="AW24" s="21"/>
      <c r="AX24" s="21"/>
      <c r="AY24" s="21"/>
      <c r="AZ24" s="21"/>
      <c r="BA24" s="21"/>
      <c r="BB24" s="21"/>
      <c r="BC24" s="21"/>
      <c r="BD24" s="21"/>
      <c r="BE24" s="21"/>
      <c r="BF24" s="39"/>
    </row>
    <row r="25" spans="1:58">
      <c r="A25" s="20"/>
      <c r="B25" s="21"/>
      <c r="C25" s="21"/>
      <c r="D25" s="21"/>
      <c r="E25" s="21"/>
      <c r="F25" s="21"/>
      <c r="G25" s="21"/>
      <c r="H25" s="21"/>
      <c r="I25" s="21"/>
      <c r="J25" s="21"/>
      <c r="K25" s="21"/>
      <c r="L25" s="21"/>
      <c r="M25" s="21"/>
      <c r="N25" s="21"/>
      <c r="O25" s="21"/>
      <c r="P25" s="21"/>
      <c r="Q25" s="21"/>
      <c r="R25" s="21"/>
      <c r="S25" s="21"/>
      <c r="T25" s="21"/>
      <c r="U25" s="21"/>
      <c r="V25" s="21"/>
      <c r="W25" s="21"/>
      <c r="X25" s="21"/>
      <c r="Y25" s="21"/>
      <c r="Z25" s="21"/>
      <c r="AA25" s="21"/>
      <c r="AB25" s="21"/>
      <c r="AC25" s="21"/>
      <c r="AD25" s="21"/>
      <c r="AE25" s="21"/>
      <c r="AF25" s="21"/>
      <c r="AG25" s="21"/>
      <c r="AH25" s="21"/>
      <c r="AI25" s="21"/>
      <c r="AJ25" s="21"/>
      <c r="AK25" s="21"/>
      <c r="AL25" s="21"/>
      <c r="AM25" s="21"/>
      <c r="AN25" s="21"/>
      <c r="AO25" s="21"/>
      <c r="AP25" s="21"/>
      <c r="AQ25" s="21"/>
      <c r="AR25" s="21"/>
      <c r="AS25" s="21"/>
      <c r="AT25" s="21"/>
      <c r="AU25" s="21"/>
      <c r="AV25" s="21"/>
      <c r="AW25" s="21"/>
      <c r="AX25" s="21"/>
      <c r="AY25" s="21"/>
      <c r="AZ25" s="21"/>
      <c r="BA25" s="21"/>
      <c r="BB25" s="21"/>
      <c r="BC25" s="21"/>
      <c r="BD25" s="21"/>
      <c r="BE25" s="21"/>
      <c r="BF25" s="39"/>
    </row>
    <row r="26" spans="1:58">
      <c r="A26" s="20"/>
      <c r="B26" s="21" t="s">
        <v>110</v>
      </c>
      <c r="C26" s="21"/>
      <c r="D26" s="21"/>
      <c r="E26" s="21"/>
      <c r="F26" s="21"/>
      <c r="G26" s="21"/>
      <c r="H26" s="21"/>
      <c r="I26" s="21"/>
      <c r="J26" s="21"/>
      <c r="K26" s="21"/>
      <c r="L26" s="21"/>
      <c r="M26" s="21"/>
      <c r="N26" s="21"/>
      <c r="O26" s="21"/>
      <c r="P26" s="21"/>
      <c r="Q26" s="21"/>
      <c r="R26" s="21"/>
      <c r="S26" s="21"/>
      <c r="T26" s="21"/>
      <c r="U26" s="21"/>
      <c r="V26" s="21"/>
      <c r="W26" s="21"/>
      <c r="X26" s="21"/>
      <c r="Y26" s="21"/>
      <c r="Z26" s="21"/>
      <c r="AA26" s="21"/>
      <c r="AB26" s="21"/>
      <c r="AC26" s="21"/>
      <c r="AD26" s="21"/>
      <c r="AE26" s="21"/>
      <c r="AF26" s="21"/>
      <c r="AG26" s="21"/>
      <c r="AH26" s="21"/>
      <c r="AI26" s="21"/>
      <c r="AJ26" s="21"/>
      <c r="AK26" s="21"/>
      <c r="AL26" s="21"/>
      <c r="AM26" s="21"/>
      <c r="AN26" s="21"/>
      <c r="AO26" s="21"/>
      <c r="AP26" s="21"/>
      <c r="AQ26" s="21"/>
      <c r="AR26" s="21"/>
      <c r="AS26" s="21"/>
      <c r="AT26" s="21"/>
      <c r="AU26" s="21"/>
      <c r="AV26" s="21"/>
      <c r="AW26" s="21"/>
      <c r="AX26" s="21"/>
      <c r="AY26" s="21"/>
      <c r="AZ26" s="21"/>
      <c r="BA26" s="21"/>
      <c r="BB26" s="21"/>
      <c r="BC26" s="21"/>
      <c r="BD26" s="21"/>
      <c r="BE26" s="21"/>
      <c r="BF26" s="39"/>
    </row>
    <row r="27" spans="1:58">
      <c r="A27" s="20"/>
      <c r="B27" s="21" t="s">
        <v>99</v>
      </c>
      <c r="C27" s="21" t="s">
        <v>111</v>
      </c>
      <c r="D27" s="21"/>
      <c r="E27" s="21"/>
      <c r="F27" s="21"/>
      <c r="G27" s="21"/>
      <c r="H27" s="21"/>
      <c r="I27" s="21"/>
      <c r="J27" s="21"/>
      <c r="K27" s="21"/>
      <c r="L27" s="21"/>
      <c r="M27" s="21"/>
      <c r="N27" s="21"/>
      <c r="O27" s="21"/>
      <c r="P27" s="21"/>
      <c r="Q27" s="21"/>
      <c r="R27" s="21"/>
      <c r="S27" s="21"/>
      <c r="T27" s="21"/>
      <c r="U27" s="21"/>
      <c r="V27" s="21"/>
      <c r="W27" s="21"/>
      <c r="X27" s="21"/>
      <c r="Y27" s="21"/>
      <c r="Z27" s="21"/>
      <c r="AA27" s="21"/>
      <c r="AB27" s="21"/>
      <c r="AC27" s="21"/>
      <c r="AD27" s="21"/>
      <c r="AE27" s="21"/>
      <c r="AF27" s="21"/>
      <c r="AG27" s="21"/>
      <c r="AH27" s="21"/>
      <c r="AI27" s="21"/>
      <c r="AJ27" s="21"/>
      <c r="AK27" s="21"/>
      <c r="AL27" s="21"/>
      <c r="AM27" s="21"/>
      <c r="AN27" s="21"/>
      <c r="AO27" s="21"/>
      <c r="AP27" s="21"/>
      <c r="AQ27" s="21"/>
      <c r="AR27" s="21"/>
      <c r="AS27" s="21"/>
      <c r="AT27" s="21"/>
      <c r="AU27" s="21"/>
      <c r="AV27" s="21"/>
      <c r="AW27" s="21"/>
      <c r="AX27" s="21"/>
      <c r="AY27" s="21"/>
      <c r="AZ27" s="21"/>
      <c r="BA27" s="21"/>
      <c r="BB27" s="21"/>
      <c r="BC27" s="21"/>
      <c r="BD27" s="21"/>
      <c r="BE27" s="21"/>
      <c r="BF27" s="39"/>
    </row>
    <row r="28" spans="1:58">
      <c r="A28" s="20"/>
      <c r="B28" s="21" t="s">
        <v>99</v>
      </c>
      <c r="C28" s="21" t="s">
        <v>112</v>
      </c>
      <c r="D28" s="21"/>
      <c r="E28" s="21"/>
      <c r="F28" s="21"/>
      <c r="G28" s="21"/>
      <c r="H28" s="21"/>
      <c r="I28" s="21"/>
      <c r="J28" s="21"/>
      <c r="K28" s="21"/>
      <c r="L28" s="21"/>
      <c r="M28" s="21"/>
      <c r="N28" s="21"/>
      <c r="O28" s="21"/>
      <c r="P28" s="21"/>
      <c r="Q28" s="21"/>
      <c r="R28" s="21"/>
      <c r="S28" s="21"/>
      <c r="T28" s="21"/>
      <c r="U28" s="21"/>
      <c r="V28" s="21"/>
      <c r="W28" s="21"/>
      <c r="X28" s="21"/>
      <c r="Y28" s="21"/>
      <c r="Z28" s="21"/>
      <c r="AA28" s="21"/>
      <c r="AB28" s="21"/>
      <c r="AC28" s="21"/>
      <c r="AD28" s="21"/>
      <c r="AE28" s="21"/>
      <c r="AF28" s="21"/>
      <c r="AG28" s="21"/>
      <c r="AH28" s="21"/>
      <c r="AI28" s="21"/>
      <c r="AJ28" s="21"/>
      <c r="AK28" s="21"/>
      <c r="AL28" s="21"/>
      <c r="AM28" s="21"/>
      <c r="AN28" s="21"/>
      <c r="AO28" s="21"/>
      <c r="AP28" s="21"/>
      <c r="AQ28" s="21"/>
      <c r="AR28" s="21"/>
      <c r="AS28" s="21"/>
      <c r="AT28" s="21"/>
      <c r="AU28" s="21"/>
      <c r="AV28" s="21"/>
      <c r="AW28" s="21"/>
      <c r="AX28" s="21"/>
      <c r="AY28" s="21"/>
      <c r="AZ28" s="21"/>
      <c r="BA28" s="21"/>
      <c r="BB28" s="21"/>
      <c r="BC28" s="21"/>
      <c r="BD28" s="21"/>
      <c r="BE28" s="21"/>
      <c r="BF28" s="39"/>
    </row>
    <row r="29" spans="1:58">
      <c r="A29" s="20"/>
      <c r="B29" s="21" t="s">
        <v>99</v>
      </c>
      <c r="C29" s="21" t="s">
        <v>113</v>
      </c>
      <c r="D29" s="21"/>
      <c r="E29" s="21"/>
      <c r="F29" s="21"/>
      <c r="G29" s="21"/>
      <c r="H29" s="21"/>
      <c r="I29" s="21"/>
      <c r="J29" s="21"/>
      <c r="K29" s="21"/>
      <c r="L29" s="21"/>
      <c r="M29" s="21"/>
      <c r="N29" s="21"/>
      <c r="O29" s="21"/>
      <c r="P29" s="21"/>
      <c r="Q29" s="21"/>
      <c r="R29" s="21"/>
      <c r="S29" s="21"/>
      <c r="T29" s="21"/>
      <c r="U29" s="21"/>
      <c r="V29" s="21"/>
      <c r="W29" s="21"/>
      <c r="X29" s="21"/>
      <c r="Y29" s="21"/>
      <c r="Z29" s="21"/>
      <c r="AA29" s="21"/>
      <c r="AB29" s="21"/>
      <c r="AC29" s="21"/>
      <c r="AD29" s="21"/>
      <c r="AE29" s="21"/>
      <c r="AF29" s="21"/>
      <c r="AG29" s="21"/>
      <c r="AH29" s="21"/>
      <c r="AI29" s="21"/>
      <c r="AJ29" s="21"/>
      <c r="AK29" s="21"/>
      <c r="AL29" s="21"/>
      <c r="AM29" s="21"/>
      <c r="AN29" s="21"/>
      <c r="AO29" s="21"/>
      <c r="AP29" s="21"/>
      <c r="AQ29" s="21"/>
      <c r="AR29" s="21"/>
      <c r="AS29" s="21"/>
      <c r="AT29" s="21"/>
      <c r="AU29" s="21"/>
      <c r="AV29" s="21"/>
      <c r="AW29" s="21"/>
      <c r="AX29" s="21"/>
      <c r="AY29" s="21"/>
      <c r="AZ29" s="21"/>
      <c r="BA29" s="21"/>
      <c r="BB29" s="21"/>
      <c r="BC29" s="21"/>
      <c r="BD29" s="21"/>
      <c r="BE29" s="21"/>
      <c r="BF29" s="39"/>
    </row>
    <row r="30" spans="1:58">
      <c r="A30" s="20"/>
      <c r="B30" s="21" t="s">
        <v>99</v>
      </c>
      <c r="C30" s="21" t="s">
        <v>114</v>
      </c>
      <c r="D30" s="21"/>
      <c r="E30" s="21"/>
      <c r="F30" s="21"/>
      <c r="G30" s="21"/>
      <c r="H30" s="21"/>
      <c r="I30" s="21"/>
      <c r="J30" s="21"/>
      <c r="K30" s="21"/>
      <c r="L30" s="21"/>
      <c r="M30" s="21"/>
      <c r="N30" s="21"/>
      <c r="O30" s="21"/>
      <c r="P30" s="21"/>
      <c r="Q30" s="21"/>
      <c r="R30" s="21"/>
      <c r="S30" s="21"/>
      <c r="T30" s="21"/>
      <c r="U30" s="21"/>
      <c r="V30" s="21"/>
      <c r="W30" s="21"/>
      <c r="X30" s="21"/>
      <c r="Y30" s="21"/>
      <c r="Z30" s="21"/>
      <c r="AA30" s="21"/>
      <c r="AB30" s="21"/>
      <c r="AC30" s="21"/>
      <c r="AD30" s="21"/>
      <c r="AE30" s="21"/>
      <c r="AF30" s="21"/>
      <c r="AG30" s="21"/>
      <c r="AH30" s="21"/>
      <c r="AI30" s="21"/>
      <c r="AJ30" s="21"/>
      <c r="AK30" s="21"/>
      <c r="AL30" s="21"/>
      <c r="AM30" s="21"/>
      <c r="AN30" s="21"/>
      <c r="AO30" s="21"/>
      <c r="AP30" s="21"/>
      <c r="AQ30" s="21"/>
      <c r="AR30" s="21"/>
      <c r="AS30" s="21"/>
      <c r="AT30" s="21"/>
      <c r="AU30" s="21"/>
      <c r="AV30" s="21"/>
      <c r="AW30" s="21"/>
      <c r="AX30" s="21"/>
      <c r="AY30" s="21"/>
      <c r="AZ30" s="21"/>
      <c r="BA30" s="21"/>
      <c r="BB30" s="21"/>
      <c r="BC30" s="21"/>
      <c r="BD30" s="21"/>
      <c r="BE30" s="21"/>
      <c r="BF30" s="39"/>
    </row>
    <row r="31" spans="1:58">
      <c r="A31" s="20"/>
      <c r="B31" s="21" t="s">
        <v>99</v>
      </c>
      <c r="C31" s="21" t="s">
        <v>115</v>
      </c>
      <c r="D31" s="21"/>
      <c r="E31" s="21"/>
      <c r="F31" s="21"/>
      <c r="G31" s="21"/>
      <c r="H31" s="21"/>
      <c r="I31" s="21"/>
      <c r="J31" s="21"/>
      <c r="K31" s="21"/>
      <c r="L31" s="21"/>
      <c r="M31" s="21"/>
      <c r="N31" s="21"/>
      <c r="O31" s="21"/>
      <c r="P31" s="21"/>
      <c r="Q31" s="21"/>
      <c r="R31" s="21"/>
      <c r="S31" s="21"/>
      <c r="T31" s="21"/>
      <c r="U31" s="21"/>
      <c r="V31" s="21"/>
      <c r="W31" s="21"/>
      <c r="X31" s="21"/>
      <c r="Y31" s="21"/>
      <c r="Z31" s="21"/>
      <c r="AA31" s="21"/>
      <c r="AB31" s="21"/>
      <c r="AC31" s="21"/>
      <c r="AD31" s="21"/>
      <c r="AE31" s="21"/>
      <c r="AF31" s="21"/>
      <c r="AG31" s="21"/>
      <c r="AH31" s="21"/>
      <c r="AI31" s="21"/>
      <c r="AJ31" s="21"/>
      <c r="AK31" s="21"/>
      <c r="AL31" s="21"/>
      <c r="AM31" s="21"/>
      <c r="AN31" s="21"/>
      <c r="AO31" s="21"/>
      <c r="AP31" s="21"/>
      <c r="AQ31" s="21"/>
      <c r="AR31" s="21"/>
      <c r="AS31" s="21"/>
      <c r="AT31" s="21"/>
      <c r="AU31" s="21"/>
      <c r="AV31" s="21"/>
      <c r="AW31" s="21"/>
      <c r="AX31" s="21"/>
      <c r="AY31" s="21"/>
      <c r="AZ31" s="21"/>
      <c r="BA31" s="21"/>
      <c r="BB31" s="21"/>
      <c r="BC31" s="21"/>
      <c r="BD31" s="21"/>
      <c r="BE31" s="21"/>
      <c r="BF31" s="39"/>
    </row>
    <row r="32" spans="1:58">
      <c r="A32" s="20"/>
      <c r="B32" s="21" t="s">
        <v>99</v>
      </c>
      <c r="C32" s="21" t="s">
        <v>116</v>
      </c>
      <c r="D32" s="21"/>
      <c r="E32" s="21"/>
      <c r="F32" s="21"/>
      <c r="G32" s="21"/>
      <c r="H32" s="21"/>
      <c r="I32" s="21"/>
      <c r="J32" s="21"/>
      <c r="K32" s="21"/>
      <c r="L32" s="21"/>
      <c r="M32" s="21"/>
      <c r="N32" s="21"/>
      <c r="O32" s="21"/>
      <c r="P32" s="21"/>
      <c r="Q32" s="21"/>
      <c r="R32" s="21"/>
      <c r="S32" s="21"/>
      <c r="T32" s="21"/>
      <c r="U32" s="21"/>
      <c r="V32" s="21"/>
      <c r="W32" s="21"/>
      <c r="X32" s="21"/>
      <c r="Y32" s="21"/>
      <c r="Z32" s="21"/>
      <c r="AA32" s="21"/>
      <c r="AB32" s="21"/>
      <c r="AC32" s="21"/>
      <c r="AD32" s="21"/>
      <c r="AE32" s="21"/>
      <c r="AF32" s="21"/>
      <c r="AG32" s="21"/>
      <c r="AH32" s="21"/>
      <c r="AI32" s="21"/>
      <c r="AJ32" s="21"/>
      <c r="AK32" s="21"/>
      <c r="AL32" s="21"/>
      <c r="AM32" s="21"/>
      <c r="AN32" s="21"/>
      <c r="AO32" s="21"/>
      <c r="AP32" s="21"/>
      <c r="AQ32" s="21"/>
      <c r="AR32" s="21"/>
      <c r="AS32" s="21"/>
      <c r="AT32" s="21"/>
      <c r="AU32" s="21"/>
      <c r="AV32" s="21"/>
      <c r="AW32" s="21"/>
      <c r="AX32" s="21"/>
      <c r="AY32" s="21"/>
      <c r="AZ32" s="21"/>
      <c r="BA32" s="21"/>
      <c r="BB32" s="21"/>
      <c r="BC32" s="21"/>
      <c r="BD32" s="21"/>
      <c r="BE32" s="21"/>
      <c r="BF32" s="39"/>
    </row>
    <row r="33" spans="1:58">
      <c r="A33" s="20"/>
      <c r="B33" s="21" t="s">
        <v>99</v>
      </c>
      <c r="C33" s="21" t="s">
        <v>117</v>
      </c>
      <c r="D33" s="21"/>
      <c r="E33" s="21"/>
      <c r="F33" s="21"/>
      <c r="G33" s="21"/>
      <c r="H33" s="21"/>
      <c r="I33" s="21"/>
      <c r="J33" s="21"/>
      <c r="K33" s="21"/>
      <c r="L33" s="21"/>
      <c r="M33" s="21"/>
      <c r="N33" s="21"/>
      <c r="O33" s="21"/>
      <c r="P33" s="21"/>
      <c r="Q33" s="21"/>
      <c r="R33" s="21"/>
      <c r="S33" s="21"/>
      <c r="T33" s="21"/>
      <c r="U33" s="21"/>
      <c r="V33" s="21"/>
      <c r="W33" s="21"/>
      <c r="X33" s="21"/>
      <c r="Y33" s="21"/>
      <c r="Z33" s="21"/>
      <c r="AA33" s="21"/>
      <c r="AB33" s="21"/>
      <c r="AC33" s="21"/>
      <c r="AD33" s="21"/>
      <c r="AE33" s="21"/>
      <c r="AF33" s="21"/>
      <c r="AG33" s="21"/>
      <c r="AH33" s="21"/>
      <c r="AI33" s="21"/>
      <c r="AJ33" s="21"/>
      <c r="AK33" s="21"/>
      <c r="AL33" s="21"/>
      <c r="AM33" s="21"/>
      <c r="AN33" s="21"/>
      <c r="AO33" s="21"/>
      <c r="AP33" s="21"/>
      <c r="AQ33" s="21"/>
      <c r="AR33" s="21"/>
      <c r="AS33" s="21"/>
      <c r="AT33" s="21"/>
      <c r="AU33" s="21"/>
      <c r="AV33" s="21"/>
      <c r="AW33" s="21"/>
      <c r="AX33" s="21"/>
      <c r="AY33" s="21"/>
      <c r="AZ33" s="21"/>
      <c r="BA33" s="21"/>
      <c r="BB33" s="21"/>
      <c r="BC33" s="21"/>
      <c r="BD33" s="21"/>
      <c r="BE33" s="21"/>
      <c r="BF33" s="39"/>
    </row>
    <row r="34" spans="1:58">
      <c r="A34" s="20"/>
      <c r="B34" s="21" t="s">
        <v>99</v>
      </c>
      <c r="C34" s="21" t="s">
        <v>118</v>
      </c>
      <c r="D34" s="21"/>
      <c r="E34" s="21"/>
      <c r="F34" s="21"/>
      <c r="G34" s="21"/>
      <c r="H34" s="21"/>
      <c r="I34" s="21"/>
      <c r="J34" s="21"/>
      <c r="K34" s="21"/>
      <c r="L34" s="21"/>
      <c r="M34" s="21"/>
      <c r="N34" s="21"/>
      <c r="O34" s="21"/>
      <c r="P34" s="21"/>
      <c r="Q34" s="21"/>
      <c r="R34" s="21"/>
      <c r="S34" s="21"/>
      <c r="T34" s="21"/>
      <c r="U34" s="21"/>
      <c r="V34" s="21"/>
      <c r="W34" s="21"/>
      <c r="X34" s="21"/>
      <c r="Y34" s="21"/>
      <c r="Z34" s="21"/>
      <c r="AA34" s="21"/>
      <c r="AB34" s="21"/>
      <c r="AC34" s="21"/>
      <c r="AD34" s="21"/>
      <c r="AE34" s="21"/>
      <c r="AF34" s="21"/>
      <c r="AG34" s="21"/>
      <c r="AH34" s="21"/>
      <c r="AI34" s="21"/>
      <c r="AJ34" s="21"/>
      <c r="AK34" s="21"/>
      <c r="AL34" s="21"/>
      <c r="AM34" s="21"/>
      <c r="AN34" s="21"/>
      <c r="AO34" s="21"/>
      <c r="AP34" s="21"/>
      <c r="AQ34" s="21"/>
      <c r="AR34" s="21"/>
      <c r="AS34" s="21"/>
      <c r="AT34" s="21"/>
      <c r="AU34" s="21"/>
      <c r="AV34" s="21"/>
      <c r="AW34" s="21"/>
      <c r="AX34" s="21"/>
      <c r="AY34" s="21"/>
      <c r="AZ34" s="21"/>
      <c r="BA34" s="21"/>
      <c r="BB34" s="21"/>
      <c r="BC34" s="21"/>
      <c r="BD34" s="21"/>
      <c r="BE34" s="21"/>
      <c r="BF34" s="39"/>
    </row>
    <row r="35" spans="1:58">
      <c r="A35" s="20"/>
      <c r="B35" s="21" t="s">
        <v>99</v>
      </c>
      <c r="C35" s="21" t="s">
        <v>107</v>
      </c>
      <c r="D35" s="21"/>
      <c r="E35" s="21"/>
      <c r="F35" s="21"/>
      <c r="G35" s="21"/>
      <c r="H35" s="21"/>
      <c r="I35" s="21"/>
      <c r="J35" s="21"/>
      <c r="K35" s="21"/>
      <c r="L35" s="21"/>
      <c r="M35" s="21"/>
      <c r="N35" s="21"/>
      <c r="O35" s="21"/>
      <c r="P35" s="21"/>
      <c r="Q35" s="21"/>
      <c r="R35" s="21"/>
      <c r="S35" s="21"/>
      <c r="T35" s="21"/>
      <c r="U35" s="21"/>
      <c r="V35" s="21"/>
      <c r="W35" s="21"/>
      <c r="X35" s="21"/>
      <c r="Y35" s="21"/>
      <c r="Z35" s="21"/>
      <c r="AA35" s="21"/>
      <c r="AB35" s="21"/>
      <c r="AC35" s="21"/>
      <c r="AD35" s="21"/>
      <c r="AE35" s="21"/>
      <c r="AF35" s="21"/>
      <c r="AG35" s="21"/>
      <c r="AH35" s="21"/>
      <c r="AI35" s="21"/>
      <c r="AJ35" s="21"/>
      <c r="AK35" s="21"/>
      <c r="AL35" s="21"/>
      <c r="AM35" s="21"/>
      <c r="AN35" s="21"/>
      <c r="AO35" s="21"/>
      <c r="AP35" s="21"/>
      <c r="AQ35" s="21"/>
      <c r="AR35" s="21"/>
      <c r="AS35" s="21"/>
      <c r="AT35" s="21"/>
      <c r="AU35" s="21"/>
      <c r="AV35" s="21"/>
      <c r="AW35" s="21"/>
      <c r="AX35" s="21"/>
      <c r="AY35" s="21"/>
      <c r="AZ35" s="21"/>
      <c r="BA35" s="21"/>
      <c r="BB35" s="21"/>
      <c r="BC35" s="21"/>
      <c r="BD35" s="21"/>
      <c r="BE35" s="21"/>
      <c r="BF35" s="39"/>
    </row>
    <row r="36" spans="1:58">
      <c r="A36" s="20"/>
      <c r="B36" s="21"/>
      <c r="C36" s="21"/>
      <c r="D36" s="21"/>
      <c r="E36" s="21"/>
      <c r="F36" s="21"/>
      <c r="G36" s="21"/>
      <c r="H36" s="21"/>
      <c r="I36" s="21"/>
      <c r="J36" s="21"/>
      <c r="K36" s="21"/>
      <c r="L36" s="21"/>
      <c r="M36" s="21"/>
      <c r="N36" s="21"/>
      <c r="O36" s="21"/>
      <c r="P36" s="21"/>
      <c r="Q36" s="21"/>
      <c r="R36" s="21"/>
      <c r="S36" s="21"/>
      <c r="T36" s="21"/>
      <c r="U36" s="21"/>
      <c r="V36" s="21"/>
      <c r="W36" s="21"/>
      <c r="X36" s="21"/>
      <c r="Y36" s="21"/>
      <c r="Z36" s="21"/>
      <c r="AA36" s="21"/>
      <c r="AB36" s="21"/>
      <c r="AC36" s="21"/>
      <c r="AD36" s="21"/>
      <c r="AE36" s="21"/>
      <c r="AF36" s="21"/>
      <c r="AG36" s="21"/>
      <c r="AH36" s="21"/>
      <c r="AI36" s="21"/>
      <c r="AJ36" s="21"/>
      <c r="AK36" s="21"/>
      <c r="AL36" s="21"/>
      <c r="AM36" s="21"/>
      <c r="AN36" s="21"/>
      <c r="AO36" s="21"/>
      <c r="AP36" s="21"/>
      <c r="AQ36" s="21"/>
      <c r="AR36" s="21"/>
      <c r="AS36" s="21"/>
      <c r="AT36" s="21"/>
      <c r="AU36" s="21"/>
      <c r="AV36" s="21"/>
      <c r="AW36" s="21"/>
      <c r="AX36" s="21"/>
      <c r="AY36" s="21"/>
      <c r="AZ36" s="21"/>
      <c r="BA36" s="21"/>
      <c r="BB36" s="21"/>
      <c r="BC36" s="21"/>
      <c r="BD36" s="21"/>
      <c r="BE36" s="21"/>
      <c r="BF36" s="39"/>
    </row>
    <row r="37" spans="1:58">
      <c r="A37" s="20"/>
      <c r="B37" s="21" t="s">
        <v>121</v>
      </c>
      <c r="C37" s="21"/>
      <c r="D37" s="21"/>
      <c r="E37" s="21"/>
      <c r="F37" s="21"/>
      <c r="G37" s="21"/>
      <c r="H37" s="21"/>
      <c r="I37" s="21"/>
      <c r="J37" s="21"/>
      <c r="K37" s="21"/>
      <c r="L37" s="21"/>
      <c r="M37" s="21"/>
      <c r="N37" s="21"/>
      <c r="O37" s="21"/>
      <c r="P37" s="21"/>
      <c r="Q37" s="21"/>
      <c r="R37" s="21"/>
      <c r="S37" s="21"/>
      <c r="T37" s="21"/>
      <c r="U37" s="21"/>
      <c r="V37" s="21"/>
      <c r="W37" s="21"/>
      <c r="X37" s="21"/>
      <c r="Y37" s="21"/>
      <c r="Z37" s="21"/>
      <c r="AA37" s="21"/>
      <c r="AB37" s="21"/>
      <c r="AC37" s="21"/>
      <c r="AD37" s="21"/>
      <c r="AE37" s="21"/>
      <c r="AF37" s="21"/>
      <c r="AG37" s="21"/>
      <c r="AH37" s="21"/>
      <c r="AI37" s="21"/>
      <c r="AJ37" s="21"/>
      <c r="AK37" s="21"/>
      <c r="AL37" s="21"/>
      <c r="AM37" s="21"/>
      <c r="AN37" s="21"/>
      <c r="AO37" s="21"/>
      <c r="AP37" s="21"/>
      <c r="AQ37" s="21"/>
      <c r="AR37" s="21"/>
      <c r="AS37" s="21"/>
      <c r="AT37" s="21"/>
      <c r="AU37" s="21"/>
      <c r="AV37" s="21"/>
      <c r="AW37" s="21"/>
      <c r="AX37" s="21"/>
      <c r="AY37" s="21"/>
      <c r="AZ37" s="21"/>
      <c r="BA37" s="21"/>
      <c r="BB37" s="21"/>
      <c r="BC37" s="21"/>
      <c r="BD37" s="21"/>
      <c r="BE37" s="21"/>
      <c r="BF37" s="39"/>
    </row>
    <row r="38" spans="1:58">
      <c r="A38" s="20"/>
      <c r="B38" s="21" t="s">
        <v>99</v>
      </c>
      <c r="C38" s="21" t="s">
        <v>119</v>
      </c>
      <c r="D38" s="21"/>
      <c r="E38" s="21"/>
      <c r="F38" s="21"/>
      <c r="G38" s="21"/>
      <c r="H38" s="21"/>
      <c r="I38" s="21"/>
      <c r="J38" s="21"/>
      <c r="K38" s="21"/>
      <c r="L38" s="21"/>
      <c r="M38" s="21"/>
      <c r="N38" s="21"/>
      <c r="O38" s="21"/>
      <c r="P38" s="21"/>
      <c r="Q38" s="21"/>
      <c r="R38" s="21"/>
      <c r="S38" s="21"/>
      <c r="T38" s="21"/>
      <c r="U38" s="21"/>
      <c r="V38" s="21"/>
      <c r="W38" s="21"/>
      <c r="X38" s="21"/>
      <c r="Y38" s="21"/>
      <c r="Z38" s="21"/>
      <c r="AA38" s="21"/>
      <c r="AB38" s="21"/>
      <c r="AC38" s="21"/>
      <c r="AD38" s="21"/>
      <c r="AE38" s="21"/>
      <c r="AF38" s="21"/>
      <c r="AG38" s="21"/>
      <c r="AH38" s="21"/>
      <c r="AI38" s="21"/>
      <c r="AJ38" s="21"/>
      <c r="AK38" s="21"/>
      <c r="AL38" s="21"/>
      <c r="AM38" s="21"/>
      <c r="AN38" s="21"/>
      <c r="AO38" s="21"/>
      <c r="AP38" s="21"/>
      <c r="AQ38" s="21"/>
      <c r="AR38" s="21"/>
      <c r="AS38" s="21"/>
      <c r="AT38" s="21"/>
      <c r="AU38" s="21"/>
      <c r="AV38" s="21"/>
      <c r="AW38" s="21"/>
      <c r="AX38" s="21"/>
      <c r="AY38" s="21"/>
      <c r="AZ38" s="21"/>
      <c r="BA38" s="21"/>
      <c r="BB38" s="21"/>
      <c r="BC38" s="21"/>
      <c r="BD38" s="21"/>
      <c r="BE38" s="21"/>
      <c r="BF38" s="39"/>
    </row>
    <row r="39" spans="1:58">
      <c r="A39" s="20"/>
      <c r="B39" s="21" t="s">
        <v>99</v>
      </c>
      <c r="C39" s="21" t="s">
        <v>120</v>
      </c>
      <c r="D39" s="21"/>
      <c r="E39" s="21"/>
      <c r="F39" s="21"/>
      <c r="G39" s="21"/>
      <c r="H39" s="21"/>
      <c r="I39" s="21"/>
      <c r="J39" s="21"/>
      <c r="K39" s="21"/>
      <c r="L39" s="21"/>
      <c r="M39" s="21"/>
      <c r="N39" s="21"/>
      <c r="O39" s="21"/>
      <c r="P39" s="21"/>
      <c r="Q39" s="21"/>
      <c r="R39" s="21"/>
      <c r="S39" s="21"/>
      <c r="T39" s="21"/>
      <c r="U39" s="21"/>
      <c r="V39" s="21"/>
      <c r="W39" s="21"/>
      <c r="X39" s="21"/>
      <c r="Y39" s="21"/>
      <c r="Z39" s="21"/>
      <c r="AA39" s="21"/>
      <c r="AB39" s="21"/>
      <c r="AC39" s="21"/>
      <c r="AD39" s="21"/>
      <c r="AE39" s="21"/>
      <c r="AF39" s="21"/>
      <c r="AG39" s="21"/>
      <c r="AH39" s="21"/>
      <c r="AI39" s="21"/>
      <c r="AJ39" s="21"/>
      <c r="AK39" s="21"/>
      <c r="AL39" s="21"/>
      <c r="AM39" s="21"/>
      <c r="AN39" s="21"/>
      <c r="AO39" s="21"/>
      <c r="AP39" s="21"/>
      <c r="AQ39" s="21"/>
      <c r="AR39" s="21"/>
      <c r="AS39" s="21"/>
      <c r="AT39" s="21"/>
      <c r="AU39" s="21"/>
      <c r="AV39" s="21"/>
      <c r="AW39" s="21"/>
      <c r="AX39" s="21"/>
      <c r="AY39" s="21"/>
      <c r="AZ39" s="21"/>
      <c r="BA39" s="21"/>
      <c r="BB39" s="21"/>
      <c r="BC39" s="21"/>
      <c r="BD39" s="21"/>
      <c r="BE39" s="21"/>
      <c r="BF39" s="39"/>
    </row>
    <row r="40" spans="1:58">
      <c r="A40" s="20"/>
      <c r="B40" s="21"/>
      <c r="C40" s="1" t="s">
        <v>125</v>
      </c>
      <c r="D40" s="21" t="s">
        <v>122</v>
      </c>
      <c r="E40" s="21"/>
      <c r="F40" s="21"/>
      <c r="G40" s="21"/>
      <c r="H40" s="21"/>
      <c r="I40" s="21"/>
      <c r="J40" s="21"/>
      <c r="K40" s="21"/>
      <c r="L40" s="21"/>
      <c r="M40" s="21"/>
      <c r="N40" s="21"/>
      <c r="O40" s="21"/>
      <c r="P40" s="21"/>
      <c r="Q40" s="21"/>
      <c r="R40" s="21"/>
      <c r="S40" s="21"/>
      <c r="T40" s="21"/>
      <c r="U40" s="21"/>
      <c r="V40" s="21"/>
      <c r="W40" s="21"/>
      <c r="X40" s="21"/>
      <c r="Y40" s="21"/>
      <c r="Z40" s="21"/>
      <c r="AA40" s="21"/>
      <c r="AB40" s="21"/>
      <c r="AC40" s="21"/>
      <c r="AD40" s="21"/>
      <c r="AE40" s="21"/>
      <c r="AF40" s="21"/>
      <c r="AG40" s="21"/>
      <c r="AH40" s="21"/>
      <c r="AI40" s="21"/>
      <c r="AJ40" s="21"/>
      <c r="AK40" s="21"/>
      <c r="AL40" s="21"/>
      <c r="AM40" s="21"/>
      <c r="AN40" s="21"/>
      <c r="AO40" s="21"/>
      <c r="AP40" s="21"/>
      <c r="AQ40" s="21"/>
      <c r="AR40" s="21"/>
      <c r="AS40" s="21"/>
      <c r="AT40" s="21"/>
      <c r="AU40" s="21"/>
      <c r="AV40" s="21"/>
      <c r="AW40" s="21"/>
      <c r="AX40" s="21"/>
      <c r="AY40" s="21"/>
      <c r="AZ40" s="21"/>
      <c r="BA40" s="21"/>
      <c r="BB40" s="21"/>
      <c r="BC40" s="21"/>
      <c r="BD40" s="21"/>
      <c r="BE40" s="21"/>
      <c r="BF40" s="39"/>
    </row>
    <row r="41" spans="1:58">
      <c r="A41" s="20"/>
      <c r="B41" s="21"/>
      <c r="C41" s="21"/>
      <c r="D41" s="21"/>
      <c r="E41" s="21"/>
      <c r="F41" s="21"/>
      <c r="G41" s="21"/>
      <c r="H41" s="21"/>
      <c r="I41" s="21"/>
      <c r="J41" s="21"/>
      <c r="K41" s="21"/>
      <c r="L41" s="21"/>
      <c r="M41" s="21"/>
      <c r="N41" s="21"/>
      <c r="O41" s="21"/>
      <c r="P41" s="21"/>
      <c r="Q41" s="21"/>
      <c r="R41" s="21"/>
      <c r="S41" s="21"/>
      <c r="T41" s="21"/>
      <c r="U41" s="21"/>
      <c r="V41" s="21"/>
      <c r="W41" s="21"/>
      <c r="X41" s="21"/>
      <c r="Y41" s="21"/>
      <c r="Z41" s="21"/>
      <c r="AA41" s="21"/>
      <c r="AB41" s="21"/>
      <c r="AC41" s="21"/>
      <c r="AD41" s="21"/>
      <c r="AE41" s="21"/>
      <c r="AF41" s="21"/>
      <c r="AG41" s="21"/>
      <c r="AH41" s="21"/>
      <c r="AI41" s="21"/>
      <c r="AJ41" s="21"/>
      <c r="AK41" s="21"/>
      <c r="AL41" s="21"/>
      <c r="AM41" s="21"/>
      <c r="AN41" s="21"/>
      <c r="AO41" s="21"/>
      <c r="AP41" s="21"/>
      <c r="AQ41" s="21"/>
      <c r="AR41" s="21"/>
      <c r="AS41" s="21"/>
      <c r="AT41" s="21"/>
      <c r="AU41" s="21"/>
      <c r="AV41" s="21"/>
      <c r="AW41" s="21"/>
      <c r="AX41" s="21"/>
      <c r="AY41" s="21"/>
      <c r="AZ41" s="21"/>
      <c r="BA41" s="21"/>
      <c r="BB41" s="21"/>
      <c r="BC41" s="21"/>
      <c r="BD41" s="21"/>
      <c r="BE41" s="21"/>
      <c r="BF41" s="39"/>
    </row>
    <row r="42" spans="1:58">
      <c r="A42" s="20"/>
      <c r="B42" s="21" t="s">
        <v>123</v>
      </c>
      <c r="C42" s="21"/>
      <c r="D42" s="21"/>
      <c r="E42" s="21"/>
      <c r="F42" s="21"/>
      <c r="G42" s="21"/>
      <c r="H42" s="21"/>
      <c r="I42" s="21"/>
      <c r="J42" s="21"/>
      <c r="K42" s="21"/>
      <c r="L42" s="21"/>
      <c r="M42" s="21"/>
      <c r="N42" s="21"/>
      <c r="O42" s="21"/>
      <c r="P42" s="21"/>
      <c r="Q42" s="21"/>
      <c r="R42" s="21"/>
      <c r="S42" s="21"/>
      <c r="T42" s="21"/>
      <c r="U42" s="21"/>
      <c r="V42" s="21"/>
      <c r="W42" s="21"/>
      <c r="X42" s="21"/>
      <c r="Y42" s="21"/>
      <c r="Z42" s="21"/>
      <c r="AA42" s="21"/>
      <c r="AB42" s="21"/>
      <c r="AC42" s="21"/>
      <c r="AD42" s="21"/>
      <c r="AE42" s="21"/>
      <c r="AF42" s="21"/>
      <c r="AG42" s="21"/>
      <c r="AH42" s="21"/>
      <c r="AI42" s="21"/>
      <c r="AJ42" s="21"/>
      <c r="AK42" s="21"/>
      <c r="AL42" s="21"/>
      <c r="AM42" s="21"/>
      <c r="AN42" s="21"/>
      <c r="AO42" s="21"/>
      <c r="AP42" s="21"/>
      <c r="AQ42" s="21"/>
      <c r="AR42" s="21"/>
      <c r="AS42" s="21"/>
      <c r="AT42" s="21"/>
      <c r="AU42" s="21"/>
      <c r="AV42" s="21"/>
      <c r="AW42" s="21"/>
      <c r="AX42" s="21"/>
      <c r="AY42" s="21"/>
      <c r="AZ42" s="21"/>
      <c r="BA42" s="21"/>
      <c r="BB42" s="21"/>
      <c r="BC42" s="21"/>
      <c r="BD42" s="21"/>
      <c r="BE42" s="21"/>
      <c r="BF42" s="39"/>
    </row>
    <row r="43" spans="1:58">
      <c r="A43" s="20"/>
      <c r="B43" s="21" t="s">
        <v>99</v>
      </c>
      <c r="C43" s="21" t="s">
        <v>124</v>
      </c>
      <c r="D43" s="21"/>
      <c r="E43" s="21"/>
      <c r="F43" s="21"/>
      <c r="G43" s="21"/>
      <c r="H43" s="21"/>
      <c r="I43" s="21"/>
      <c r="J43" s="21"/>
      <c r="K43" s="21"/>
      <c r="L43" s="21"/>
      <c r="M43" s="21"/>
      <c r="N43" s="21"/>
      <c r="O43" s="21"/>
      <c r="P43" s="21"/>
      <c r="Q43" s="21"/>
      <c r="R43" s="21"/>
      <c r="S43" s="21"/>
      <c r="T43" s="21"/>
      <c r="U43" s="21"/>
      <c r="V43" s="21"/>
      <c r="W43" s="21"/>
      <c r="X43" s="21"/>
      <c r="Y43" s="21"/>
      <c r="Z43" s="21"/>
      <c r="AA43" s="21"/>
      <c r="AB43" s="21"/>
      <c r="AC43" s="21"/>
      <c r="AD43" s="21"/>
      <c r="AE43" s="21"/>
      <c r="AF43" s="21"/>
      <c r="AG43" s="21"/>
      <c r="AH43" s="21"/>
      <c r="AI43" s="21"/>
      <c r="AJ43" s="21"/>
      <c r="AK43" s="21"/>
      <c r="AL43" s="21"/>
      <c r="AM43" s="21"/>
      <c r="AN43" s="21"/>
      <c r="AO43" s="21"/>
      <c r="AP43" s="21"/>
      <c r="AQ43" s="21"/>
      <c r="AR43" s="21"/>
      <c r="AS43" s="21"/>
      <c r="AT43" s="21"/>
      <c r="AU43" s="21"/>
      <c r="AV43" s="21"/>
      <c r="AW43" s="21"/>
      <c r="AX43" s="21"/>
      <c r="AY43" s="21"/>
      <c r="AZ43" s="21"/>
      <c r="BA43" s="21"/>
      <c r="BB43" s="21"/>
      <c r="BC43" s="21"/>
      <c r="BD43" s="21"/>
      <c r="BE43" s="21"/>
      <c r="BF43" s="39"/>
    </row>
    <row r="44" spans="1:58">
      <c r="A44" s="20"/>
      <c r="B44" s="21"/>
      <c r="C44" s="21" t="s">
        <v>125</v>
      </c>
      <c r="D44" s="21" t="s">
        <v>126</v>
      </c>
      <c r="E44" s="21"/>
      <c r="F44" s="21"/>
      <c r="G44" s="21"/>
      <c r="H44" s="21"/>
      <c r="I44" s="21"/>
      <c r="J44" s="21"/>
      <c r="K44" s="21"/>
      <c r="L44" s="21"/>
      <c r="M44" s="21"/>
      <c r="N44" s="21"/>
      <c r="O44" s="21"/>
      <c r="P44" s="21"/>
      <c r="Q44" s="21"/>
      <c r="R44" s="21"/>
      <c r="S44" s="21"/>
      <c r="T44" s="21"/>
      <c r="U44" s="21"/>
      <c r="V44" s="21"/>
      <c r="W44" s="21"/>
      <c r="X44" s="21"/>
      <c r="Y44" s="21"/>
      <c r="Z44" s="21"/>
      <c r="AA44" s="21"/>
      <c r="AB44" s="21"/>
      <c r="AC44" s="21"/>
      <c r="AD44" s="21"/>
      <c r="AE44" s="21"/>
      <c r="AF44" s="21"/>
      <c r="AG44" s="21"/>
      <c r="AH44" s="21"/>
      <c r="AI44" s="21"/>
      <c r="AJ44" s="21"/>
      <c r="AK44" s="21"/>
      <c r="AL44" s="21"/>
      <c r="AM44" s="21"/>
      <c r="AN44" s="21"/>
      <c r="AO44" s="21"/>
      <c r="AP44" s="21"/>
      <c r="AQ44" s="21"/>
      <c r="AR44" s="21"/>
      <c r="AS44" s="21"/>
      <c r="AT44" s="21"/>
      <c r="AU44" s="21"/>
      <c r="AV44" s="21"/>
      <c r="AW44" s="21"/>
      <c r="AX44" s="21"/>
      <c r="AY44" s="21"/>
      <c r="AZ44" s="21"/>
      <c r="BA44" s="21"/>
      <c r="BB44" s="21"/>
      <c r="BC44" s="21"/>
      <c r="BD44" s="21"/>
      <c r="BE44" s="21"/>
      <c r="BF44" s="39"/>
    </row>
    <row r="45" spans="1:58">
      <c r="A45" s="20"/>
      <c r="B45" s="21"/>
      <c r="C45" s="21"/>
      <c r="D45" s="21"/>
      <c r="E45" s="21"/>
      <c r="F45" s="21"/>
      <c r="G45" s="21"/>
      <c r="H45" s="21"/>
      <c r="I45" s="21"/>
      <c r="J45" s="21"/>
      <c r="K45" s="21"/>
      <c r="L45" s="21"/>
      <c r="M45" s="21"/>
      <c r="N45" s="21"/>
      <c r="O45" s="21"/>
      <c r="P45" s="21"/>
      <c r="Q45" s="21"/>
      <c r="R45" s="21"/>
      <c r="S45" s="21"/>
      <c r="T45" s="21"/>
      <c r="U45" s="21"/>
      <c r="V45" s="21"/>
      <c r="W45" s="21"/>
      <c r="X45" s="21"/>
      <c r="Y45" s="21"/>
      <c r="Z45" s="21"/>
      <c r="AA45" s="21"/>
      <c r="AB45" s="21"/>
      <c r="AC45" s="21"/>
      <c r="AD45" s="21"/>
      <c r="AE45" s="21"/>
      <c r="AF45" s="21"/>
      <c r="AG45" s="21"/>
      <c r="AH45" s="21"/>
      <c r="AI45" s="21"/>
      <c r="AJ45" s="21"/>
      <c r="AK45" s="21"/>
      <c r="AL45" s="21"/>
      <c r="AM45" s="21"/>
      <c r="AN45" s="21"/>
      <c r="AO45" s="21"/>
      <c r="AP45" s="21"/>
      <c r="AQ45" s="21"/>
      <c r="AR45" s="21"/>
      <c r="AS45" s="21"/>
      <c r="AT45" s="21"/>
      <c r="AU45" s="21"/>
      <c r="AV45" s="21"/>
      <c r="AW45" s="21"/>
      <c r="AX45" s="21"/>
      <c r="AY45" s="21"/>
      <c r="AZ45" s="21"/>
      <c r="BA45" s="21"/>
      <c r="BB45" s="21"/>
      <c r="BC45" s="21"/>
      <c r="BD45" s="21"/>
      <c r="BE45" s="21"/>
      <c r="BF45" s="39"/>
    </row>
    <row r="46" spans="1:58">
      <c r="A46" s="20"/>
      <c r="B46" s="21" t="s">
        <v>80</v>
      </c>
      <c r="C46" s="21"/>
      <c r="D46" s="21"/>
      <c r="E46" s="21"/>
      <c r="F46" s="21"/>
      <c r="G46" s="21"/>
      <c r="H46" s="21"/>
      <c r="I46" s="21"/>
      <c r="J46" s="21"/>
      <c r="K46" s="21"/>
      <c r="L46" s="21"/>
      <c r="M46" s="21"/>
      <c r="N46" s="21"/>
      <c r="O46" s="21"/>
      <c r="P46" s="21"/>
      <c r="Q46" s="21"/>
      <c r="R46" s="21"/>
      <c r="S46" s="21"/>
      <c r="T46" s="21"/>
      <c r="U46" s="21"/>
      <c r="V46" s="21"/>
      <c r="W46" s="21"/>
      <c r="X46" s="21"/>
      <c r="Y46" s="21"/>
      <c r="Z46" s="21"/>
      <c r="AA46" s="21"/>
      <c r="AB46" s="21"/>
      <c r="AC46" s="21"/>
      <c r="AD46" s="21"/>
      <c r="AE46" s="21"/>
      <c r="AF46" s="21"/>
      <c r="AG46" s="21"/>
      <c r="AH46" s="21"/>
      <c r="AI46" s="21"/>
      <c r="AJ46" s="21"/>
      <c r="AK46" s="21"/>
      <c r="AL46" s="21"/>
      <c r="AM46" s="21"/>
      <c r="AN46" s="21"/>
      <c r="AO46" s="21"/>
      <c r="AP46" s="21"/>
      <c r="AQ46" s="21"/>
      <c r="AR46" s="21"/>
      <c r="AS46" s="21"/>
      <c r="AT46" s="21"/>
      <c r="AU46" s="21"/>
      <c r="AV46" s="21"/>
      <c r="AW46" s="21"/>
      <c r="AX46" s="21"/>
      <c r="AY46" s="21"/>
      <c r="AZ46" s="21"/>
      <c r="BA46" s="21"/>
      <c r="BB46" s="21"/>
      <c r="BC46" s="21"/>
      <c r="BD46" s="21"/>
      <c r="BE46" s="21"/>
      <c r="BF46" s="39"/>
    </row>
    <row r="47" spans="1:58">
      <c r="A47" s="20"/>
      <c r="B47" s="21" t="s">
        <v>99</v>
      </c>
      <c r="C47" s="21" t="s">
        <v>127</v>
      </c>
      <c r="D47" s="21"/>
      <c r="E47" s="21"/>
      <c r="F47" s="21"/>
      <c r="G47" s="21"/>
      <c r="H47" s="21"/>
      <c r="I47" s="21"/>
      <c r="J47" s="21"/>
      <c r="K47" s="21"/>
      <c r="L47" s="21"/>
      <c r="M47" s="21"/>
      <c r="N47" s="21"/>
      <c r="O47" s="21"/>
      <c r="P47" s="21"/>
      <c r="Q47" s="21"/>
      <c r="R47" s="21"/>
      <c r="S47" s="21"/>
      <c r="T47" s="21"/>
      <c r="U47" s="21"/>
      <c r="V47" s="21"/>
      <c r="W47" s="21"/>
      <c r="X47" s="21"/>
      <c r="Y47" s="21"/>
      <c r="Z47" s="21"/>
      <c r="AA47" s="21"/>
      <c r="AB47" s="21"/>
      <c r="AC47" s="21"/>
      <c r="AD47" s="21"/>
      <c r="AE47" s="21"/>
      <c r="AF47" s="21"/>
      <c r="AG47" s="21"/>
      <c r="AH47" s="21"/>
      <c r="AI47" s="21"/>
      <c r="AJ47" s="21"/>
      <c r="AK47" s="21"/>
      <c r="AL47" s="21"/>
      <c r="AM47" s="21"/>
      <c r="AN47" s="21"/>
      <c r="AO47" s="21"/>
      <c r="AP47" s="21"/>
      <c r="AQ47" s="21"/>
      <c r="AR47" s="21"/>
      <c r="AS47" s="21"/>
      <c r="AT47" s="21"/>
      <c r="AU47" s="21"/>
      <c r="AV47" s="21"/>
      <c r="AW47" s="21"/>
      <c r="AX47" s="21"/>
      <c r="AY47" s="21"/>
      <c r="AZ47" s="21"/>
      <c r="BA47" s="21"/>
      <c r="BB47" s="21"/>
      <c r="BC47" s="21"/>
      <c r="BD47" s="21"/>
      <c r="BE47" s="21"/>
      <c r="BF47" s="39"/>
    </row>
    <row r="48" spans="1:58">
      <c r="A48" s="20"/>
      <c r="B48" s="21"/>
      <c r="C48" s="21" t="s">
        <v>128</v>
      </c>
      <c r="D48" s="21"/>
      <c r="E48" s="21"/>
      <c r="F48" s="21"/>
      <c r="G48" s="21"/>
      <c r="H48" s="21"/>
      <c r="I48" s="21"/>
      <c r="J48" s="21"/>
      <c r="K48" s="21"/>
      <c r="L48" s="21"/>
      <c r="M48" s="21"/>
      <c r="N48" s="21"/>
      <c r="O48" s="21"/>
      <c r="P48" s="21"/>
      <c r="Q48" s="21"/>
      <c r="R48" s="21"/>
      <c r="S48" s="21"/>
      <c r="T48" s="21"/>
      <c r="U48" s="21"/>
      <c r="V48" s="21"/>
      <c r="W48" s="21"/>
      <c r="X48" s="21"/>
      <c r="Y48" s="21"/>
      <c r="Z48" s="21"/>
      <c r="AA48" s="21"/>
      <c r="AB48" s="21"/>
      <c r="AC48" s="21"/>
      <c r="AD48" s="21"/>
      <c r="AE48" s="21"/>
      <c r="AF48" s="21"/>
      <c r="AG48" s="21"/>
      <c r="AH48" s="21"/>
      <c r="AI48" s="21"/>
      <c r="AJ48" s="21"/>
      <c r="AK48" s="21"/>
      <c r="AL48" s="21"/>
      <c r="AM48" s="21"/>
      <c r="AN48" s="21"/>
      <c r="AO48" s="21"/>
      <c r="AP48" s="21"/>
      <c r="AQ48" s="21"/>
      <c r="AR48" s="21"/>
      <c r="AS48" s="21"/>
      <c r="AT48" s="21"/>
      <c r="AU48" s="21"/>
      <c r="AV48" s="21"/>
      <c r="AW48" s="21"/>
      <c r="AX48" s="21"/>
      <c r="AY48" s="21"/>
      <c r="AZ48" s="21"/>
      <c r="BA48" s="21"/>
      <c r="BB48" s="21"/>
      <c r="BC48" s="21"/>
      <c r="BD48" s="21"/>
      <c r="BE48" s="21"/>
      <c r="BF48" s="39"/>
    </row>
    <row r="49" spans="1:58">
      <c r="A49" s="20"/>
      <c r="B49" s="21"/>
      <c r="C49" s="21"/>
      <c r="D49" s="21"/>
      <c r="E49" s="21"/>
      <c r="F49" s="21"/>
      <c r="G49" s="21"/>
      <c r="H49" s="21"/>
      <c r="I49" s="21"/>
      <c r="J49" s="21"/>
      <c r="K49" s="21"/>
      <c r="L49" s="21"/>
      <c r="M49" s="21"/>
      <c r="N49" s="21"/>
      <c r="O49" s="21"/>
      <c r="P49" s="21"/>
      <c r="Q49" s="21"/>
      <c r="R49" s="21"/>
      <c r="S49" s="21"/>
      <c r="T49" s="21"/>
      <c r="U49" s="21"/>
      <c r="V49" s="21"/>
      <c r="W49" s="21"/>
      <c r="X49" s="21"/>
      <c r="Y49" s="21"/>
      <c r="Z49" s="21"/>
      <c r="AA49" s="21"/>
      <c r="AB49" s="21"/>
      <c r="AC49" s="21"/>
      <c r="AD49" s="21"/>
      <c r="AE49" s="21"/>
      <c r="AF49" s="21"/>
      <c r="AG49" s="21"/>
      <c r="AH49" s="21"/>
      <c r="AI49" s="21"/>
      <c r="AJ49" s="21"/>
      <c r="AK49" s="21"/>
      <c r="AL49" s="21"/>
      <c r="AM49" s="21"/>
      <c r="AN49" s="21"/>
      <c r="AO49" s="21"/>
      <c r="AP49" s="21"/>
      <c r="AQ49" s="21"/>
      <c r="AR49" s="21"/>
      <c r="AS49" s="21"/>
      <c r="AT49" s="21"/>
      <c r="AU49" s="21"/>
      <c r="AV49" s="21"/>
      <c r="AW49" s="21"/>
      <c r="AX49" s="21"/>
      <c r="AY49" s="21"/>
      <c r="AZ49" s="21"/>
      <c r="BA49" s="21"/>
      <c r="BB49" s="21"/>
      <c r="BC49" s="21"/>
      <c r="BD49" s="21"/>
      <c r="BE49" s="21"/>
      <c r="BF49" s="39"/>
    </row>
    <row r="50" spans="1:58">
      <c r="A50" s="20"/>
      <c r="B50" s="21" t="s">
        <v>81</v>
      </c>
      <c r="C50" s="21"/>
      <c r="D50" s="21"/>
      <c r="E50" s="21"/>
      <c r="F50" s="21"/>
      <c r="G50" s="21"/>
      <c r="H50" s="21"/>
      <c r="I50" s="21"/>
      <c r="J50" s="21"/>
      <c r="K50" s="21"/>
      <c r="L50" s="21"/>
      <c r="M50" s="21"/>
      <c r="N50" s="21"/>
      <c r="O50" s="21"/>
      <c r="P50" s="21"/>
      <c r="Q50" s="21"/>
      <c r="R50" s="21"/>
      <c r="S50" s="21"/>
      <c r="T50" s="21"/>
      <c r="U50" s="21"/>
      <c r="V50" s="21"/>
      <c r="W50" s="21"/>
      <c r="X50" s="21"/>
      <c r="Y50" s="21"/>
      <c r="Z50" s="21"/>
      <c r="AA50" s="21"/>
      <c r="AB50" s="21"/>
      <c r="AC50" s="21"/>
      <c r="AD50" s="21"/>
      <c r="AE50" s="21"/>
      <c r="AF50" s="21"/>
      <c r="AG50" s="21"/>
      <c r="AH50" s="21"/>
      <c r="AI50" s="21"/>
      <c r="AJ50" s="21"/>
      <c r="AK50" s="21"/>
      <c r="AL50" s="21"/>
      <c r="AM50" s="21"/>
      <c r="AN50" s="21"/>
      <c r="AO50" s="21"/>
      <c r="AP50" s="21"/>
      <c r="AQ50" s="21"/>
      <c r="AR50" s="21"/>
      <c r="AS50" s="21"/>
      <c r="AT50" s="21"/>
      <c r="AU50" s="21"/>
      <c r="AV50" s="21"/>
      <c r="AW50" s="21"/>
      <c r="AX50" s="21"/>
      <c r="AY50" s="21"/>
      <c r="AZ50" s="21"/>
      <c r="BA50" s="21"/>
      <c r="BB50" s="21"/>
      <c r="BC50" s="21"/>
      <c r="BD50" s="21"/>
      <c r="BE50" s="21"/>
      <c r="BF50" s="39"/>
    </row>
    <row r="51" spans="1:58">
      <c r="A51" s="20"/>
      <c r="B51" s="21" t="s">
        <v>99</v>
      </c>
      <c r="C51" s="21" t="s">
        <v>129</v>
      </c>
      <c r="D51" s="21"/>
      <c r="E51" s="21"/>
      <c r="F51" s="21"/>
      <c r="G51" s="21"/>
      <c r="H51" s="21"/>
      <c r="I51" s="21"/>
      <c r="J51" s="21"/>
      <c r="K51" s="21"/>
      <c r="L51" s="21"/>
      <c r="M51" s="21"/>
      <c r="N51" s="21"/>
      <c r="O51" s="21"/>
      <c r="P51" s="21"/>
      <c r="Q51" s="21"/>
      <c r="R51" s="21"/>
      <c r="S51" s="21"/>
      <c r="T51" s="21"/>
      <c r="U51" s="21"/>
      <c r="V51" s="21"/>
      <c r="W51" s="21"/>
      <c r="X51" s="21"/>
      <c r="Y51" s="21"/>
      <c r="Z51" s="21"/>
      <c r="AA51" s="21"/>
      <c r="AB51" s="21"/>
      <c r="AC51" s="21"/>
      <c r="AD51" s="21"/>
      <c r="AE51" s="21"/>
      <c r="AF51" s="21"/>
      <c r="AG51" s="21"/>
      <c r="AH51" s="21"/>
      <c r="AI51" s="21"/>
      <c r="AJ51" s="21"/>
      <c r="AK51" s="21"/>
      <c r="AL51" s="21"/>
      <c r="AM51" s="21"/>
      <c r="AN51" s="21"/>
      <c r="AO51" s="21"/>
      <c r="AP51" s="21"/>
      <c r="AQ51" s="21"/>
      <c r="AR51" s="21"/>
      <c r="AS51" s="21"/>
      <c r="AT51" s="21"/>
      <c r="AU51" s="21"/>
      <c r="AV51" s="21"/>
      <c r="AW51" s="21"/>
      <c r="AX51" s="21"/>
      <c r="AY51" s="21"/>
      <c r="AZ51" s="21"/>
      <c r="BA51" s="21"/>
      <c r="BB51" s="21"/>
      <c r="BC51" s="21"/>
      <c r="BD51" s="21"/>
      <c r="BE51" s="21"/>
      <c r="BF51" s="39"/>
    </row>
    <row r="52" spans="1:58">
      <c r="A52" s="20"/>
      <c r="B52" s="21" t="s">
        <v>99</v>
      </c>
      <c r="C52" s="21"/>
      <c r="D52" s="21"/>
      <c r="E52" s="21"/>
      <c r="F52" s="21"/>
      <c r="G52" s="21"/>
      <c r="H52" s="21"/>
      <c r="I52" s="21"/>
      <c r="J52" s="21"/>
      <c r="K52" s="21"/>
      <c r="L52" s="21"/>
      <c r="M52" s="21"/>
      <c r="N52" s="21"/>
      <c r="O52" s="21"/>
      <c r="P52" s="21"/>
      <c r="Q52" s="21"/>
      <c r="R52" s="21"/>
      <c r="S52" s="21"/>
      <c r="T52" s="21"/>
      <c r="U52" s="21"/>
      <c r="V52" s="21"/>
      <c r="W52" s="21"/>
      <c r="X52" s="21"/>
      <c r="Y52" s="21"/>
      <c r="Z52" s="21"/>
      <c r="AA52" s="21"/>
      <c r="AB52" s="21"/>
      <c r="AC52" s="21"/>
      <c r="AD52" s="21"/>
      <c r="AE52" s="21"/>
      <c r="AF52" s="21"/>
      <c r="AG52" s="21"/>
      <c r="AH52" s="21"/>
      <c r="AI52" s="21"/>
      <c r="AJ52" s="21"/>
      <c r="AK52" s="21"/>
      <c r="AL52" s="21"/>
      <c r="AM52" s="21"/>
      <c r="AN52" s="21"/>
      <c r="AO52" s="21"/>
      <c r="AP52" s="21"/>
      <c r="AQ52" s="21"/>
      <c r="AR52" s="21"/>
      <c r="AS52" s="21"/>
      <c r="AT52" s="21"/>
      <c r="AU52" s="21"/>
      <c r="AV52" s="21"/>
      <c r="AW52" s="21"/>
      <c r="AX52" s="21"/>
      <c r="AY52" s="21"/>
      <c r="AZ52" s="21"/>
      <c r="BA52" s="21"/>
      <c r="BB52" s="21"/>
      <c r="BC52" s="21"/>
      <c r="BD52" s="21"/>
      <c r="BE52" s="21"/>
      <c r="BF52" s="39"/>
    </row>
    <row r="53" spans="1:58">
      <c r="A53" s="20"/>
      <c r="B53" s="21"/>
      <c r="C53" s="21"/>
      <c r="D53" s="21"/>
      <c r="E53" s="21"/>
      <c r="F53" s="21"/>
      <c r="G53" s="21"/>
      <c r="H53" s="21"/>
      <c r="I53" s="21"/>
      <c r="J53" s="21"/>
      <c r="K53" s="21"/>
      <c r="L53" s="21"/>
      <c r="M53" s="21"/>
      <c r="N53" s="21"/>
      <c r="O53" s="21"/>
      <c r="P53" s="21"/>
      <c r="Q53" s="21"/>
      <c r="R53" s="21"/>
      <c r="S53" s="21"/>
      <c r="T53" s="21"/>
      <c r="U53" s="21"/>
      <c r="V53" s="21"/>
      <c r="W53" s="21"/>
      <c r="X53" s="21"/>
      <c r="Y53" s="21"/>
      <c r="Z53" s="21"/>
      <c r="AA53" s="21"/>
      <c r="AB53" s="21"/>
      <c r="AC53" s="21"/>
      <c r="AD53" s="21"/>
      <c r="AE53" s="21"/>
      <c r="AF53" s="21"/>
      <c r="AG53" s="21"/>
      <c r="AH53" s="21"/>
      <c r="AI53" s="21"/>
      <c r="AJ53" s="21"/>
      <c r="AK53" s="21"/>
      <c r="AL53" s="21"/>
      <c r="AM53" s="21"/>
      <c r="AN53" s="21"/>
      <c r="AO53" s="21"/>
      <c r="AP53" s="21"/>
      <c r="AQ53" s="21"/>
      <c r="AR53" s="21"/>
      <c r="AS53" s="21"/>
      <c r="AT53" s="21"/>
      <c r="AU53" s="21"/>
      <c r="AV53" s="21"/>
      <c r="AW53" s="21"/>
      <c r="AX53" s="21"/>
      <c r="AY53" s="21"/>
      <c r="AZ53" s="21"/>
      <c r="BA53" s="21"/>
      <c r="BB53" s="21"/>
      <c r="BC53" s="21"/>
      <c r="BD53" s="21"/>
      <c r="BE53" s="21"/>
      <c r="BF53" s="39"/>
    </row>
    <row r="54" spans="1:58">
      <c r="A54" s="20"/>
      <c r="B54" s="21"/>
      <c r="C54" s="21"/>
      <c r="D54" s="21"/>
      <c r="E54" s="21"/>
      <c r="F54" s="21"/>
      <c r="G54" s="21"/>
      <c r="H54" s="21"/>
      <c r="I54" s="21"/>
      <c r="J54" s="21"/>
      <c r="K54" s="21"/>
      <c r="L54" s="21"/>
      <c r="M54" s="21"/>
      <c r="N54" s="21"/>
      <c r="O54" s="21"/>
      <c r="P54" s="21"/>
      <c r="Q54" s="21"/>
      <c r="R54" s="21"/>
      <c r="S54" s="21"/>
      <c r="T54" s="21"/>
      <c r="U54" s="21"/>
      <c r="V54" s="21"/>
      <c r="W54" s="21"/>
      <c r="X54" s="21"/>
      <c r="Y54" s="21"/>
      <c r="Z54" s="21"/>
      <c r="AA54" s="21"/>
      <c r="AB54" s="21"/>
      <c r="AC54" s="21"/>
      <c r="AD54" s="21"/>
      <c r="AE54" s="21"/>
      <c r="AF54" s="21"/>
      <c r="AG54" s="21"/>
      <c r="AH54" s="21"/>
      <c r="AI54" s="21"/>
      <c r="AJ54" s="21"/>
      <c r="AK54" s="21"/>
      <c r="AL54" s="21"/>
      <c r="AM54" s="21"/>
      <c r="AN54" s="21"/>
      <c r="AO54" s="21"/>
      <c r="AP54" s="21"/>
      <c r="AQ54" s="21"/>
      <c r="AR54" s="21"/>
      <c r="AS54" s="21"/>
      <c r="AT54" s="21"/>
      <c r="AU54" s="21"/>
      <c r="AV54" s="21"/>
      <c r="AW54" s="21"/>
      <c r="AX54" s="21"/>
      <c r="AY54" s="21"/>
      <c r="AZ54" s="21"/>
      <c r="BA54" s="21"/>
      <c r="BB54" s="21"/>
      <c r="BC54" s="21"/>
      <c r="BD54" s="21"/>
      <c r="BE54" s="21"/>
      <c r="BF54" s="39"/>
    </row>
    <row r="55" spans="1:58">
      <c r="A55" s="20"/>
      <c r="B55" s="21"/>
      <c r="C55" s="21"/>
      <c r="D55" s="21"/>
      <c r="E55" s="21"/>
      <c r="F55" s="21"/>
      <c r="G55" s="21"/>
      <c r="H55" s="21"/>
      <c r="I55" s="21"/>
      <c r="J55" s="21"/>
      <c r="K55" s="21"/>
      <c r="L55" s="21"/>
      <c r="M55" s="21"/>
      <c r="N55" s="21"/>
      <c r="O55" s="21"/>
      <c r="P55" s="21"/>
      <c r="Q55" s="21"/>
      <c r="R55" s="21"/>
      <c r="S55" s="21"/>
      <c r="T55" s="21"/>
      <c r="U55" s="21"/>
      <c r="V55" s="21"/>
      <c r="W55" s="21"/>
      <c r="X55" s="21"/>
      <c r="Y55" s="21"/>
      <c r="Z55" s="21"/>
      <c r="AA55" s="21"/>
      <c r="AB55" s="21"/>
      <c r="AC55" s="21"/>
      <c r="AD55" s="21"/>
      <c r="AE55" s="21"/>
      <c r="AF55" s="21"/>
      <c r="AG55" s="21"/>
      <c r="AH55" s="21"/>
      <c r="AI55" s="21"/>
      <c r="AJ55" s="21"/>
      <c r="AK55" s="21"/>
      <c r="AL55" s="21"/>
      <c r="AM55" s="21"/>
      <c r="AN55" s="21"/>
      <c r="AO55" s="21"/>
      <c r="AP55" s="21"/>
      <c r="AQ55" s="21"/>
      <c r="AR55" s="21"/>
      <c r="AS55" s="21"/>
      <c r="AT55" s="21"/>
      <c r="AU55" s="21"/>
      <c r="AV55" s="21"/>
      <c r="AW55" s="21"/>
      <c r="AX55" s="21"/>
      <c r="AY55" s="21"/>
      <c r="AZ55" s="21"/>
      <c r="BA55" s="21"/>
      <c r="BB55" s="21"/>
      <c r="BC55" s="21"/>
      <c r="BD55" s="21"/>
      <c r="BE55" s="21"/>
      <c r="BF55" s="39"/>
    </row>
    <row r="56" spans="1:58">
      <c r="A56" s="20"/>
      <c r="B56" s="21"/>
      <c r="C56" s="21"/>
      <c r="D56" s="21"/>
      <c r="E56" s="21"/>
      <c r="F56" s="21"/>
      <c r="G56" s="21"/>
      <c r="H56" s="21"/>
      <c r="I56" s="21"/>
      <c r="J56" s="21"/>
      <c r="K56" s="21"/>
      <c r="L56" s="21"/>
      <c r="M56" s="21"/>
      <c r="N56" s="21"/>
      <c r="O56" s="21"/>
      <c r="P56" s="21"/>
      <c r="Q56" s="21"/>
      <c r="R56" s="21"/>
      <c r="S56" s="21"/>
      <c r="T56" s="21"/>
      <c r="U56" s="21"/>
      <c r="V56" s="21"/>
      <c r="W56" s="21"/>
      <c r="X56" s="21"/>
      <c r="Y56" s="21"/>
      <c r="Z56" s="21"/>
      <c r="AA56" s="21"/>
      <c r="AB56" s="21"/>
      <c r="AC56" s="21"/>
      <c r="AD56" s="21"/>
      <c r="AE56" s="21"/>
      <c r="AF56" s="21"/>
      <c r="AG56" s="21"/>
      <c r="AH56" s="21"/>
      <c r="AI56" s="21"/>
      <c r="AJ56" s="21"/>
      <c r="AK56" s="21"/>
      <c r="AL56" s="21"/>
      <c r="AM56" s="21"/>
      <c r="AN56" s="21"/>
      <c r="AO56" s="21"/>
      <c r="AP56" s="21"/>
      <c r="AQ56" s="21"/>
      <c r="AR56" s="21"/>
      <c r="AS56" s="21"/>
      <c r="AT56" s="21"/>
      <c r="AU56" s="21"/>
      <c r="AV56" s="21"/>
      <c r="AW56" s="21"/>
      <c r="AX56" s="21"/>
      <c r="AY56" s="21"/>
      <c r="AZ56" s="21"/>
      <c r="BA56" s="21"/>
      <c r="BB56" s="21"/>
      <c r="BC56" s="21"/>
      <c r="BD56" s="21"/>
      <c r="BE56" s="21"/>
      <c r="BF56" s="39"/>
    </row>
    <row r="57" spans="1:58">
      <c r="A57" s="20"/>
      <c r="B57" s="21"/>
      <c r="C57" s="21"/>
      <c r="D57" s="21"/>
      <c r="E57" s="21"/>
      <c r="F57" s="21"/>
      <c r="G57" s="21"/>
      <c r="H57" s="21"/>
      <c r="I57" s="21"/>
      <c r="J57" s="21"/>
      <c r="K57" s="21"/>
      <c r="L57" s="21"/>
      <c r="M57" s="21"/>
      <c r="N57" s="21"/>
      <c r="O57" s="21"/>
      <c r="P57" s="21"/>
      <c r="Q57" s="21"/>
      <c r="R57" s="21"/>
      <c r="S57" s="21"/>
      <c r="T57" s="21"/>
      <c r="U57" s="21"/>
      <c r="V57" s="21"/>
      <c r="W57" s="21"/>
      <c r="X57" s="21"/>
      <c r="Y57" s="21"/>
      <c r="Z57" s="21"/>
      <c r="AA57" s="21"/>
      <c r="AB57" s="21"/>
      <c r="AC57" s="21"/>
      <c r="AD57" s="21"/>
      <c r="AE57" s="21"/>
      <c r="AF57" s="21"/>
      <c r="AG57" s="21"/>
      <c r="AH57" s="21"/>
      <c r="AI57" s="21"/>
      <c r="AJ57" s="21"/>
      <c r="AK57" s="21"/>
      <c r="AL57" s="21"/>
      <c r="AM57" s="21"/>
      <c r="AN57" s="21"/>
      <c r="AO57" s="21"/>
      <c r="AP57" s="21"/>
      <c r="AQ57" s="21"/>
      <c r="AR57" s="21"/>
      <c r="AS57" s="21"/>
      <c r="AT57" s="21"/>
      <c r="AU57" s="21"/>
      <c r="AV57" s="21"/>
      <c r="AW57" s="21"/>
      <c r="AX57" s="21"/>
      <c r="AY57" s="21"/>
      <c r="AZ57" s="21"/>
      <c r="BA57" s="21"/>
      <c r="BB57" s="21"/>
      <c r="BC57" s="21"/>
      <c r="BD57" s="21"/>
      <c r="BE57" s="21"/>
      <c r="BF57" s="39"/>
    </row>
    <row r="58" spans="1:58">
      <c r="A58" s="20"/>
      <c r="B58" s="21"/>
      <c r="C58" s="21"/>
      <c r="D58" s="21"/>
      <c r="E58" s="21"/>
      <c r="F58" s="21"/>
      <c r="G58" s="21"/>
      <c r="H58" s="21"/>
      <c r="I58" s="21"/>
      <c r="J58" s="21"/>
      <c r="K58" s="21"/>
      <c r="L58" s="21"/>
      <c r="M58" s="21"/>
      <c r="N58" s="21"/>
      <c r="O58" s="21"/>
      <c r="P58" s="21"/>
      <c r="Q58" s="21"/>
      <c r="R58" s="21"/>
      <c r="S58" s="21"/>
      <c r="T58" s="21"/>
      <c r="U58" s="21"/>
      <c r="V58" s="21"/>
      <c r="W58" s="21"/>
      <c r="X58" s="21"/>
      <c r="Y58" s="21"/>
      <c r="Z58" s="21"/>
      <c r="AA58" s="21"/>
      <c r="AB58" s="21"/>
      <c r="AC58" s="21"/>
      <c r="AD58" s="21"/>
      <c r="AE58" s="21"/>
      <c r="AF58" s="21"/>
      <c r="AG58" s="21"/>
      <c r="AH58" s="21"/>
      <c r="AI58" s="21"/>
      <c r="AJ58" s="21"/>
      <c r="AK58" s="21"/>
      <c r="AL58" s="21"/>
      <c r="AM58" s="21"/>
      <c r="AN58" s="21"/>
      <c r="AO58" s="21"/>
      <c r="AP58" s="21"/>
      <c r="AQ58" s="21"/>
      <c r="AR58" s="21"/>
      <c r="AS58" s="21"/>
      <c r="AT58" s="21"/>
      <c r="AU58" s="21"/>
      <c r="AV58" s="21"/>
      <c r="AW58" s="21"/>
      <c r="AX58" s="21"/>
      <c r="AY58" s="21"/>
      <c r="AZ58" s="21"/>
      <c r="BA58" s="21"/>
      <c r="BB58" s="21"/>
      <c r="BC58" s="21"/>
      <c r="BD58" s="21"/>
      <c r="BE58" s="21"/>
      <c r="BF58" s="39"/>
    </row>
    <row r="59" spans="1:58">
      <c r="A59" s="20"/>
      <c r="B59" s="21"/>
      <c r="C59" s="21"/>
      <c r="D59" s="21"/>
      <c r="E59" s="21"/>
      <c r="F59" s="21"/>
      <c r="G59" s="21"/>
      <c r="H59" s="21"/>
      <c r="I59" s="21"/>
      <c r="J59" s="21"/>
      <c r="K59" s="21"/>
      <c r="L59" s="21"/>
      <c r="M59" s="21"/>
      <c r="N59" s="21"/>
      <c r="O59" s="21"/>
      <c r="P59" s="21"/>
      <c r="Q59" s="21"/>
      <c r="R59" s="21"/>
      <c r="S59" s="21"/>
      <c r="T59" s="21"/>
      <c r="U59" s="21"/>
      <c r="V59" s="21"/>
      <c r="W59" s="21"/>
      <c r="X59" s="21"/>
      <c r="Y59" s="21"/>
      <c r="Z59" s="21"/>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39"/>
    </row>
    <row r="60" spans="1:58">
      <c r="A60" s="20"/>
      <c r="B60" s="21"/>
      <c r="C60" s="21"/>
      <c r="D60" s="21"/>
      <c r="E60" s="21"/>
      <c r="F60" s="21"/>
      <c r="G60" s="21"/>
      <c r="H60" s="21"/>
      <c r="I60" s="21"/>
      <c r="J60" s="21"/>
      <c r="K60" s="21"/>
      <c r="L60" s="21"/>
      <c r="M60" s="21"/>
      <c r="N60" s="21"/>
      <c r="O60" s="21"/>
      <c r="P60" s="21"/>
      <c r="Q60" s="21"/>
      <c r="R60" s="21"/>
      <c r="S60" s="21"/>
      <c r="T60" s="21"/>
      <c r="U60" s="21"/>
      <c r="V60" s="21"/>
      <c r="W60" s="21"/>
      <c r="X60" s="21"/>
      <c r="Y60" s="21"/>
      <c r="Z60" s="21"/>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39"/>
    </row>
    <row r="61" spans="1:58">
      <c r="A61" s="20"/>
      <c r="B61" s="21"/>
      <c r="C61" s="21"/>
      <c r="D61" s="21"/>
      <c r="E61" s="21"/>
      <c r="F61" s="21"/>
      <c r="G61" s="21"/>
      <c r="H61" s="21"/>
      <c r="I61" s="21"/>
      <c r="J61" s="21"/>
      <c r="K61" s="21"/>
      <c r="L61" s="21"/>
      <c r="M61" s="21"/>
      <c r="N61" s="21"/>
      <c r="O61" s="21"/>
      <c r="P61" s="21"/>
      <c r="Q61" s="21"/>
      <c r="R61" s="21"/>
      <c r="S61" s="21"/>
      <c r="T61" s="21"/>
      <c r="U61" s="21"/>
      <c r="V61" s="21"/>
      <c r="W61" s="21"/>
      <c r="X61" s="21"/>
      <c r="Y61" s="21"/>
      <c r="Z61" s="21"/>
      <c r="AA61" s="21"/>
      <c r="AB61" s="21"/>
      <c r="AC61" s="21"/>
      <c r="AD61" s="21"/>
      <c r="AE61" s="21"/>
      <c r="AF61" s="21"/>
      <c r="AG61" s="21"/>
      <c r="AH61" s="21"/>
      <c r="AI61" s="21"/>
      <c r="AJ61" s="21"/>
      <c r="AK61" s="21"/>
      <c r="AL61" s="21"/>
      <c r="AM61" s="21"/>
      <c r="AN61" s="21"/>
      <c r="AO61" s="21"/>
      <c r="AP61" s="21"/>
      <c r="AQ61" s="21"/>
      <c r="AR61" s="21"/>
      <c r="AS61" s="21"/>
      <c r="AT61" s="21"/>
      <c r="AU61" s="21"/>
      <c r="AV61" s="21"/>
      <c r="AW61" s="21"/>
      <c r="AX61" s="21"/>
      <c r="AY61" s="21"/>
      <c r="AZ61" s="21"/>
      <c r="BA61" s="21"/>
      <c r="BB61" s="21"/>
      <c r="BC61" s="21"/>
      <c r="BD61" s="21"/>
      <c r="BE61" s="21"/>
      <c r="BF61" s="39"/>
    </row>
    <row r="62" spans="1:58">
      <c r="A62" s="20"/>
      <c r="B62" s="21"/>
      <c r="C62" s="21"/>
      <c r="D62" s="21"/>
      <c r="E62" s="21"/>
      <c r="F62" s="21"/>
      <c r="G62" s="21"/>
      <c r="H62" s="21"/>
      <c r="I62" s="21"/>
      <c r="J62" s="21"/>
      <c r="K62" s="21"/>
      <c r="L62" s="21"/>
      <c r="M62" s="21"/>
      <c r="N62" s="21"/>
      <c r="O62" s="21"/>
      <c r="P62" s="21"/>
      <c r="Q62" s="21"/>
      <c r="R62" s="21"/>
      <c r="S62" s="21"/>
      <c r="T62" s="21"/>
      <c r="U62" s="21"/>
      <c r="V62" s="21"/>
      <c r="W62" s="21"/>
      <c r="X62" s="21"/>
      <c r="Y62" s="21"/>
      <c r="Z62" s="21"/>
      <c r="AA62" s="21"/>
      <c r="AB62" s="21"/>
      <c r="AC62" s="21"/>
      <c r="AD62" s="21"/>
      <c r="AE62" s="21"/>
      <c r="AF62" s="21"/>
      <c r="AG62" s="21"/>
      <c r="AH62" s="21"/>
      <c r="AI62" s="21"/>
      <c r="AJ62" s="21"/>
      <c r="AK62" s="21"/>
      <c r="AL62" s="21"/>
      <c r="AM62" s="21"/>
      <c r="AN62" s="21"/>
      <c r="AO62" s="21"/>
      <c r="AP62" s="21"/>
      <c r="AQ62" s="21"/>
      <c r="AR62" s="21"/>
      <c r="AS62" s="21"/>
      <c r="AT62" s="21"/>
      <c r="AU62" s="21"/>
      <c r="AV62" s="21"/>
      <c r="AW62" s="21"/>
      <c r="AX62" s="21"/>
      <c r="AY62" s="21"/>
      <c r="AZ62" s="21"/>
      <c r="BA62" s="21"/>
      <c r="BB62" s="21"/>
      <c r="BC62" s="21"/>
      <c r="BD62" s="21"/>
      <c r="BE62" s="21"/>
      <c r="BF62" s="39"/>
    </row>
    <row r="63" spans="1:58">
      <c r="A63" s="20"/>
      <c r="B63" s="21"/>
      <c r="C63" s="21"/>
      <c r="D63" s="21"/>
      <c r="E63" s="21"/>
      <c r="F63" s="21"/>
      <c r="G63" s="21"/>
      <c r="H63" s="21"/>
      <c r="I63" s="21"/>
      <c r="J63" s="21"/>
      <c r="K63" s="21"/>
      <c r="L63" s="21"/>
      <c r="M63" s="21"/>
      <c r="N63" s="21"/>
      <c r="O63" s="21"/>
      <c r="P63" s="21"/>
      <c r="Q63" s="21"/>
      <c r="R63" s="21"/>
      <c r="S63" s="21"/>
      <c r="T63" s="21"/>
      <c r="U63" s="21"/>
      <c r="V63" s="21"/>
      <c r="W63" s="21"/>
      <c r="X63" s="21"/>
      <c r="Y63" s="21"/>
      <c r="Z63" s="21"/>
      <c r="AA63" s="21"/>
      <c r="AB63" s="21"/>
      <c r="AC63" s="21"/>
      <c r="AD63" s="21"/>
      <c r="AE63" s="21"/>
      <c r="AF63" s="21"/>
      <c r="AG63" s="21"/>
      <c r="AH63" s="21"/>
      <c r="AI63" s="21"/>
      <c r="AJ63" s="21"/>
      <c r="AK63" s="21"/>
      <c r="AL63" s="21"/>
      <c r="AM63" s="21"/>
      <c r="AN63" s="21"/>
      <c r="AO63" s="21"/>
      <c r="AP63" s="21"/>
      <c r="AQ63" s="21"/>
      <c r="AR63" s="21"/>
      <c r="AS63" s="21"/>
      <c r="AT63" s="21"/>
      <c r="AU63" s="21"/>
      <c r="AV63" s="21"/>
      <c r="AW63" s="21"/>
      <c r="AX63" s="21"/>
      <c r="AY63" s="21"/>
      <c r="AZ63" s="21"/>
      <c r="BA63" s="21"/>
      <c r="BB63" s="21"/>
      <c r="BC63" s="21"/>
      <c r="BD63" s="21"/>
      <c r="BE63" s="21"/>
      <c r="BF63" s="39"/>
    </row>
    <row r="64" spans="1:58">
      <c r="A64" s="20"/>
      <c r="B64" s="21"/>
      <c r="C64" s="21"/>
      <c r="D64" s="21"/>
      <c r="E64" s="21"/>
      <c r="F64" s="21"/>
      <c r="G64" s="21"/>
      <c r="H64" s="21"/>
      <c r="I64" s="21"/>
      <c r="J64" s="21"/>
      <c r="K64" s="21"/>
      <c r="L64" s="21"/>
      <c r="M64" s="21"/>
      <c r="N64" s="21"/>
      <c r="O64" s="21"/>
      <c r="P64" s="21"/>
      <c r="Q64" s="21"/>
      <c r="R64" s="21"/>
      <c r="S64" s="21"/>
      <c r="T64" s="21"/>
      <c r="U64" s="21"/>
      <c r="V64" s="21"/>
      <c r="W64" s="21"/>
      <c r="X64" s="21"/>
      <c r="Y64" s="21"/>
      <c r="Z64" s="21"/>
      <c r="AA64" s="21"/>
      <c r="AB64" s="21"/>
      <c r="AC64" s="21"/>
      <c r="AD64" s="21"/>
      <c r="AE64" s="21"/>
      <c r="AF64" s="21"/>
      <c r="AG64" s="21"/>
      <c r="AH64" s="21"/>
      <c r="AI64" s="21"/>
      <c r="AJ64" s="21"/>
      <c r="AK64" s="21"/>
      <c r="AL64" s="21"/>
      <c r="AM64" s="21"/>
      <c r="AN64" s="21"/>
      <c r="AO64" s="21"/>
      <c r="AP64" s="21"/>
      <c r="AQ64" s="21"/>
      <c r="AR64" s="21"/>
      <c r="AS64" s="21"/>
      <c r="AT64" s="21"/>
      <c r="AU64" s="21"/>
      <c r="AV64" s="21"/>
      <c r="AW64" s="21"/>
      <c r="AX64" s="21"/>
      <c r="AY64" s="21"/>
      <c r="AZ64" s="21"/>
      <c r="BA64" s="21"/>
      <c r="BB64" s="21"/>
      <c r="BC64" s="21"/>
      <c r="BD64" s="21"/>
      <c r="BE64" s="21"/>
      <c r="BF64" s="39"/>
    </row>
    <row r="65" spans="1:58">
      <c r="A65" s="20"/>
      <c r="B65" s="21"/>
      <c r="C65" s="21"/>
      <c r="D65" s="21"/>
      <c r="E65" s="21"/>
      <c r="F65" s="21"/>
      <c r="G65" s="21"/>
      <c r="H65" s="21"/>
      <c r="I65" s="21"/>
      <c r="J65" s="21"/>
      <c r="K65" s="21"/>
      <c r="L65" s="21"/>
      <c r="M65" s="21"/>
      <c r="N65" s="21"/>
      <c r="O65" s="21"/>
      <c r="P65" s="21"/>
      <c r="Q65" s="21"/>
      <c r="R65" s="21"/>
      <c r="S65" s="21"/>
      <c r="T65" s="21"/>
      <c r="U65" s="21"/>
      <c r="V65" s="21"/>
      <c r="W65" s="21"/>
      <c r="X65" s="21"/>
      <c r="Y65" s="21"/>
      <c r="Z65" s="21"/>
      <c r="AA65" s="21"/>
      <c r="AB65" s="21"/>
      <c r="AC65" s="21"/>
      <c r="AD65" s="21"/>
      <c r="AE65" s="21"/>
      <c r="AF65" s="21"/>
      <c r="AG65" s="21"/>
      <c r="AH65" s="21"/>
      <c r="AI65" s="21"/>
      <c r="AJ65" s="21"/>
      <c r="AK65" s="21"/>
      <c r="AL65" s="21"/>
      <c r="AM65" s="21"/>
      <c r="AN65" s="21"/>
      <c r="AO65" s="21"/>
      <c r="AP65" s="21"/>
      <c r="AQ65" s="21"/>
      <c r="AR65" s="21"/>
      <c r="AS65" s="21"/>
      <c r="AT65" s="21"/>
      <c r="AU65" s="21"/>
      <c r="AV65" s="21"/>
      <c r="AW65" s="21"/>
      <c r="AX65" s="21"/>
      <c r="AY65" s="21"/>
      <c r="AZ65" s="21"/>
      <c r="BA65" s="21"/>
      <c r="BB65" s="21"/>
      <c r="BC65" s="21"/>
      <c r="BD65" s="21"/>
      <c r="BE65" s="21"/>
      <c r="BF65" s="39"/>
    </row>
    <row r="66" spans="1:58">
      <c r="A66" s="20"/>
      <c r="B66" s="21"/>
      <c r="C66" s="21"/>
      <c r="D66" s="21"/>
      <c r="E66" s="21"/>
      <c r="F66" s="21"/>
      <c r="G66" s="21"/>
      <c r="H66" s="21"/>
      <c r="I66" s="21"/>
      <c r="J66" s="21"/>
      <c r="K66" s="21"/>
      <c r="L66" s="21"/>
      <c r="M66" s="21"/>
      <c r="N66" s="21"/>
      <c r="O66" s="21"/>
      <c r="P66" s="21"/>
      <c r="Q66" s="21"/>
      <c r="R66" s="21"/>
      <c r="S66" s="21"/>
      <c r="T66" s="21"/>
      <c r="U66" s="21"/>
      <c r="V66" s="21"/>
      <c r="W66" s="21"/>
      <c r="X66" s="21"/>
      <c r="Y66" s="21"/>
      <c r="Z66" s="21"/>
      <c r="AA66" s="21"/>
      <c r="AB66" s="21"/>
      <c r="AC66" s="21"/>
      <c r="AD66" s="21"/>
      <c r="AE66" s="21"/>
      <c r="AF66" s="21"/>
      <c r="AG66" s="21"/>
      <c r="AH66" s="21"/>
      <c r="AI66" s="21"/>
      <c r="AJ66" s="21"/>
      <c r="AK66" s="21"/>
      <c r="AL66" s="21"/>
      <c r="AM66" s="21"/>
      <c r="AN66" s="21"/>
      <c r="AO66" s="21"/>
      <c r="AP66" s="21"/>
      <c r="AQ66" s="21"/>
      <c r="AR66" s="21"/>
      <c r="AS66" s="21"/>
      <c r="AT66" s="21"/>
      <c r="AU66" s="21"/>
      <c r="AV66" s="21"/>
      <c r="AW66" s="21"/>
      <c r="AX66" s="21"/>
      <c r="AY66" s="21"/>
      <c r="AZ66" s="21"/>
      <c r="BA66" s="21"/>
      <c r="BB66" s="21"/>
      <c r="BC66" s="21"/>
      <c r="BD66" s="21"/>
      <c r="BE66" s="21"/>
      <c r="BF66" s="39"/>
    </row>
    <row r="67" spans="1:58">
      <c r="A67" s="20"/>
      <c r="B67" s="21"/>
      <c r="C67" s="21"/>
      <c r="D67" s="21"/>
      <c r="E67" s="21"/>
      <c r="F67" s="21"/>
      <c r="G67" s="21"/>
      <c r="H67" s="21"/>
      <c r="I67" s="21"/>
      <c r="J67" s="21"/>
      <c r="K67" s="21"/>
      <c r="L67" s="21"/>
      <c r="M67" s="21"/>
      <c r="N67" s="21"/>
      <c r="O67" s="21"/>
      <c r="P67" s="21"/>
      <c r="Q67" s="21"/>
      <c r="R67" s="21"/>
      <c r="S67" s="21"/>
      <c r="T67" s="21"/>
      <c r="U67" s="21"/>
      <c r="V67" s="21"/>
      <c r="W67" s="21"/>
      <c r="X67" s="21"/>
      <c r="Y67" s="21"/>
      <c r="Z67" s="21"/>
      <c r="AA67" s="21"/>
      <c r="AB67" s="21"/>
      <c r="AC67" s="21"/>
      <c r="AD67" s="21"/>
      <c r="AE67" s="21"/>
      <c r="AF67" s="21"/>
      <c r="AG67" s="21"/>
      <c r="AH67" s="21"/>
      <c r="AI67" s="21"/>
      <c r="AJ67" s="21"/>
      <c r="AK67" s="21"/>
      <c r="AL67" s="21"/>
      <c r="AM67" s="21"/>
      <c r="AN67" s="21"/>
      <c r="AO67" s="21"/>
      <c r="AP67" s="21"/>
      <c r="AQ67" s="21"/>
      <c r="AR67" s="21"/>
      <c r="AS67" s="21"/>
      <c r="AT67" s="21"/>
      <c r="AU67" s="21"/>
      <c r="AV67" s="21"/>
      <c r="AW67" s="21"/>
      <c r="AX67" s="21"/>
      <c r="AY67" s="21"/>
      <c r="AZ67" s="21"/>
      <c r="BA67" s="21"/>
      <c r="BB67" s="21"/>
      <c r="BC67" s="21"/>
      <c r="BD67" s="21"/>
      <c r="BE67" s="21"/>
      <c r="BF67" s="39"/>
    </row>
    <row r="68" spans="1:58">
      <c r="A68" s="20"/>
      <c r="B68" s="21"/>
      <c r="C68" s="21"/>
      <c r="D68" s="21"/>
      <c r="E68" s="21"/>
      <c r="F68" s="21"/>
      <c r="G68" s="21"/>
      <c r="H68" s="21"/>
      <c r="I68" s="21"/>
      <c r="J68" s="21"/>
      <c r="K68" s="21"/>
      <c r="L68" s="21"/>
      <c r="M68" s="21"/>
      <c r="N68" s="21"/>
      <c r="O68" s="21"/>
      <c r="P68" s="21"/>
      <c r="Q68" s="21"/>
      <c r="R68" s="21"/>
      <c r="S68" s="21"/>
      <c r="T68" s="21"/>
      <c r="U68" s="21"/>
      <c r="V68" s="21"/>
      <c r="W68" s="21"/>
      <c r="X68" s="21"/>
      <c r="Y68" s="21"/>
      <c r="Z68" s="21"/>
      <c r="AA68" s="21"/>
      <c r="AB68" s="21"/>
      <c r="AC68" s="21"/>
      <c r="AD68" s="21"/>
      <c r="AE68" s="21"/>
      <c r="AF68" s="21"/>
      <c r="AG68" s="21"/>
      <c r="AH68" s="21"/>
      <c r="AI68" s="21"/>
      <c r="AJ68" s="21"/>
      <c r="AK68" s="21"/>
      <c r="AL68" s="21"/>
      <c r="AM68" s="21"/>
      <c r="AN68" s="21"/>
      <c r="AO68" s="21"/>
      <c r="AP68" s="21"/>
      <c r="AQ68" s="21"/>
      <c r="AR68" s="21"/>
      <c r="AS68" s="21"/>
      <c r="AT68" s="21"/>
      <c r="AU68" s="21"/>
      <c r="AV68" s="21"/>
      <c r="AW68" s="21"/>
      <c r="AX68" s="21"/>
      <c r="AY68" s="21"/>
      <c r="AZ68" s="21"/>
      <c r="BA68" s="21"/>
      <c r="BB68" s="21"/>
      <c r="BC68" s="21"/>
      <c r="BD68" s="21"/>
      <c r="BE68" s="21"/>
      <c r="BF68" s="39"/>
    </row>
    <row r="69" spans="1:58">
      <c r="A69" s="20"/>
      <c r="B69" s="21"/>
      <c r="C69" s="21"/>
      <c r="D69" s="21"/>
      <c r="E69" s="21"/>
      <c r="F69" s="21"/>
      <c r="G69" s="21"/>
      <c r="H69" s="21"/>
      <c r="I69" s="21"/>
      <c r="J69" s="21"/>
      <c r="K69" s="21"/>
      <c r="L69" s="21"/>
      <c r="M69" s="21"/>
      <c r="N69" s="21"/>
      <c r="O69" s="21"/>
      <c r="P69" s="21"/>
      <c r="Q69" s="21"/>
      <c r="R69" s="21"/>
      <c r="S69" s="21"/>
      <c r="T69" s="21"/>
      <c r="U69" s="21"/>
      <c r="V69" s="21"/>
      <c r="W69" s="21"/>
      <c r="X69" s="21"/>
      <c r="Y69" s="21"/>
      <c r="Z69" s="21"/>
      <c r="AA69" s="21"/>
      <c r="AB69" s="21"/>
      <c r="AC69" s="21"/>
      <c r="AD69" s="21"/>
      <c r="AE69" s="21"/>
      <c r="AF69" s="21"/>
      <c r="AG69" s="21"/>
      <c r="AH69" s="21"/>
      <c r="AI69" s="21"/>
      <c r="AJ69" s="21"/>
      <c r="AK69" s="21"/>
      <c r="AL69" s="21"/>
      <c r="AM69" s="21"/>
      <c r="AN69" s="21"/>
      <c r="AO69" s="21"/>
      <c r="AP69" s="21"/>
      <c r="AQ69" s="21"/>
      <c r="AR69" s="21"/>
      <c r="AS69" s="21"/>
      <c r="AT69" s="21"/>
      <c r="AU69" s="21"/>
      <c r="AV69" s="21"/>
      <c r="AW69" s="21"/>
      <c r="AX69" s="21"/>
      <c r="AY69" s="21"/>
      <c r="AZ69" s="21"/>
      <c r="BA69" s="21"/>
      <c r="BB69" s="21"/>
      <c r="BC69" s="21"/>
      <c r="BD69" s="21"/>
      <c r="BE69" s="21"/>
      <c r="BF69" s="39"/>
    </row>
    <row r="70" spans="1:58">
      <c r="A70" s="20"/>
      <c r="B70" s="21"/>
      <c r="C70" s="21"/>
      <c r="D70" s="21"/>
      <c r="E70" s="21"/>
      <c r="F70" s="21"/>
      <c r="G70" s="21"/>
      <c r="H70" s="21"/>
      <c r="I70" s="21"/>
      <c r="J70" s="21"/>
      <c r="K70" s="21"/>
      <c r="L70" s="21"/>
      <c r="M70" s="21"/>
      <c r="N70" s="21"/>
      <c r="O70" s="21"/>
      <c r="P70" s="21"/>
      <c r="Q70" s="21"/>
      <c r="R70" s="21"/>
      <c r="S70" s="21"/>
      <c r="T70" s="21"/>
      <c r="U70" s="21"/>
      <c r="V70" s="21"/>
      <c r="W70" s="21"/>
      <c r="X70" s="21"/>
      <c r="Y70" s="21"/>
      <c r="Z70" s="21"/>
      <c r="AA70" s="21"/>
      <c r="AB70" s="21"/>
      <c r="AC70" s="21"/>
      <c r="AD70" s="21"/>
      <c r="AE70" s="21"/>
      <c r="AF70" s="21"/>
      <c r="AG70" s="21"/>
      <c r="AH70" s="21"/>
      <c r="AI70" s="21"/>
      <c r="AJ70" s="21"/>
      <c r="AK70" s="21"/>
      <c r="AL70" s="21"/>
      <c r="AM70" s="21"/>
      <c r="AN70" s="21"/>
      <c r="AO70" s="21"/>
      <c r="AP70" s="21"/>
      <c r="AQ70" s="21"/>
      <c r="AR70" s="21"/>
      <c r="AS70" s="21"/>
      <c r="AT70" s="21"/>
      <c r="AU70" s="21"/>
      <c r="AV70" s="21"/>
      <c r="AW70" s="21"/>
      <c r="AX70" s="21"/>
      <c r="AY70" s="21"/>
      <c r="AZ70" s="21"/>
      <c r="BA70" s="21"/>
      <c r="BB70" s="21"/>
      <c r="BC70" s="21"/>
      <c r="BD70" s="21"/>
      <c r="BE70" s="21"/>
      <c r="BF70" s="39"/>
    </row>
    <row r="71" spans="1:58">
      <c r="A71" s="20"/>
      <c r="B71" s="21"/>
      <c r="C71" s="21"/>
      <c r="D71" s="21"/>
      <c r="E71" s="21"/>
      <c r="F71" s="21"/>
      <c r="G71" s="21"/>
      <c r="H71" s="21"/>
      <c r="I71" s="21"/>
      <c r="J71" s="21"/>
      <c r="K71" s="21"/>
      <c r="L71" s="21"/>
      <c r="M71" s="21"/>
      <c r="N71" s="21"/>
      <c r="O71" s="21"/>
      <c r="P71" s="21"/>
      <c r="Q71" s="21"/>
      <c r="R71" s="21"/>
      <c r="S71" s="21"/>
      <c r="T71" s="21"/>
      <c r="U71" s="21"/>
      <c r="V71" s="21"/>
      <c r="W71" s="21"/>
      <c r="X71" s="21"/>
      <c r="Y71" s="21"/>
      <c r="Z71" s="21"/>
      <c r="AA71" s="21"/>
      <c r="AB71" s="21"/>
      <c r="AC71" s="21"/>
      <c r="AD71" s="21"/>
      <c r="AE71" s="21"/>
      <c r="AF71" s="21"/>
      <c r="AG71" s="21"/>
      <c r="AH71" s="21"/>
      <c r="AI71" s="21"/>
      <c r="AJ71" s="21"/>
      <c r="AK71" s="21"/>
      <c r="AL71" s="21"/>
      <c r="AM71" s="21"/>
      <c r="AN71" s="21"/>
      <c r="AO71" s="21"/>
      <c r="AP71" s="21"/>
      <c r="AQ71" s="21"/>
      <c r="AR71" s="21"/>
      <c r="AS71" s="21"/>
      <c r="AT71" s="21"/>
      <c r="AU71" s="21"/>
      <c r="AV71" s="21"/>
      <c r="AW71" s="21"/>
      <c r="AX71" s="21"/>
      <c r="AY71" s="21"/>
      <c r="AZ71" s="21"/>
      <c r="BA71" s="21"/>
      <c r="BB71" s="21"/>
      <c r="BC71" s="21"/>
      <c r="BD71" s="21"/>
      <c r="BE71" s="21"/>
      <c r="BF71" s="39"/>
    </row>
    <row r="72" spans="1:58">
      <c r="A72" s="20"/>
      <c r="B72" s="21"/>
      <c r="C72" s="21"/>
      <c r="D72" s="21"/>
      <c r="E72" s="21"/>
      <c r="F72" s="21"/>
      <c r="G72" s="21"/>
      <c r="H72" s="21"/>
      <c r="I72" s="21"/>
      <c r="J72" s="21"/>
      <c r="K72" s="21"/>
      <c r="L72" s="21"/>
      <c r="M72" s="21"/>
      <c r="N72" s="21"/>
      <c r="O72" s="21"/>
      <c r="P72" s="21"/>
      <c r="Q72" s="21"/>
      <c r="R72" s="21"/>
      <c r="S72" s="21"/>
      <c r="T72" s="21"/>
      <c r="U72" s="21"/>
      <c r="V72" s="21"/>
      <c r="W72" s="21"/>
      <c r="X72" s="21"/>
      <c r="Y72" s="21"/>
      <c r="Z72" s="21"/>
      <c r="AA72" s="21"/>
      <c r="AB72" s="21"/>
      <c r="AC72" s="21"/>
      <c r="AD72" s="21"/>
      <c r="AE72" s="21"/>
      <c r="AF72" s="21"/>
      <c r="AG72" s="21"/>
      <c r="AH72" s="21"/>
      <c r="AI72" s="21"/>
      <c r="AJ72" s="21"/>
      <c r="AK72" s="21"/>
      <c r="AL72" s="21"/>
      <c r="AM72" s="21"/>
      <c r="AN72" s="21"/>
      <c r="AO72" s="21"/>
      <c r="AP72" s="21"/>
      <c r="AQ72" s="21"/>
      <c r="AR72" s="21"/>
      <c r="AS72" s="21"/>
      <c r="AT72" s="21"/>
      <c r="AU72" s="21"/>
      <c r="AV72" s="21"/>
      <c r="AW72" s="21"/>
      <c r="AX72" s="21"/>
      <c r="AY72" s="21"/>
      <c r="AZ72" s="21"/>
      <c r="BA72" s="21"/>
      <c r="BB72" s="21"/>
      <c r="BC72" s="21"/>
      <c r="BD72" s="21"/>
      <c r="BE72" s="21"/>
      <c r="BF72" s="39"/>
    </row>
    <row r="73" spans="1:58">
      <c r="A73" s="20"/>
      <c r="B73" s="21"/>
      <c r="C73" s="21"/>
      <c r="D73" s="21"/>
      <c r="E73" s="21"/>
      <c r="F73" s="21"/>
      <c r="G73" s="21"/>
      <c r="H73" s="21"/>
      <c r="I73" s="21"/>
      <c r="J73" s="21"/>
      <c r="K73" s="21"/>
      <c r="L73" s="21"/>
      <c r="M73" s="21"/>
      <c r="N73" s="21"/>
      <c r="O73" s="21"/>
      <c r="P73" s="21"/>
      <c r="Q73" s="21"/>
      <c r="R73" s="21"/>
      <c r="S73" s="21"/>
      <c r="T73" s="21"/>
      <c r="U73" s="21"/>
      <c r="V73" s="21"/>
      <c r="W73" s="21"/>
      <c r="X73" s="21"/>
      <c r="Y73" s="21"/>
      <c r="Z73" s="21"/>
      <c r="AA73" s="21"/>
      <c r="AB73" s="21"/>
      <c r="AC73" s="21"/>
      <c r="AD73" s="21"/>
      <c r="AE73" s="21"/>
      <c r="AF73" s="21"/>
      <c r="AG73" s="21"/>
      <c r="AH73" s="21"/>
      <c r="AI73" s="21"/>
      <c r="AJ73" s="21"/>
      <c r="AK73" s="21"/>
      <c r="AL73" s="21"/>
      <c r="AM73" s="21"/>
      <c r="AN73" s="21"/>
      <c r="AO73" s="21"/>
      <c r="AP73" s="21"/>
      <c r="AQ73" s="21"/>
      <c r="AR73" s="21"/>
      <c r="AS73" s="21"/>
      <c r="AT73" s="21"/>
      <c r="AU73" s="21"/>
      <c r="AV73" s="21"/>
      <c r="AW73" s="21"/>
      <c r="AX73" s="21"/>
      <c r="AY73" s="21"/>
      <c r="AZ73" s="21"/>
      <c r="BA73" s="21"/>
      <c r="BB73" s="21"/>
      <c r="BC73" s="21"/>
      <c r="BD73" s="21"/>
      <c r="BE73" s="21"/>
      <c r="BF73" s="39"/>
    </row>
    <row r="74" spans="1:58">
      <c r="A74" s="20"/>
      <c r="B74" s="21"/>
      <c r="C74" s="21"/>
      <c r="D74" s="21"/>
      <c r="E74" s="21"/>
      <c r="F74" s="21"/>
      <c r="G74" s="21"/>
      <c r="H74" s="21"/>
      <c r="I74" s="21"/>
      <c r="J74" s="21"/>
      <c r="K74" s="21"/>
      <c r="L74" s="21"/>
      <c r="M74" s="21"/>
      <c r="N74" s="21"/>
      <c r="O74" s="21"/>
      <c r="P74" s="21"/>
      <c r="Q74" s="21"/>
      <c r="R74" s="21"/>
      <c r="S74" s="21"/>
      <c r="T74" s="21"/>
      <c r="U74" s="21"/>
      <c r="V74" s="21"/>
      <c r="W74" s="21"/>
      <c r="X74" s="21"/>
      <c r="Y74" s="21"/>
      <c r="Z74" s="21"/>
      <c r="AA74" s="21"/>
      <c r="AB74" s="21"/>
      <c r="AC74" s="21"/>
      <c r="AD74" s="21"/>
      <c r="AE74" s="21"/>
      <c r="AF74" s="21"/>
      <c r="AG74" s="21"/>
      <c r="AH74" s="21"/>
      <c r="AI74" s="21"/>
      <c r="AJ74" s="21"/>
      <c r="AK74" s="21"/>
      <c r="AL74" s="21"/>
      <c r="AM74" s="21"/>
      <c r="AN74" s="21"/>
      <c r="AO74" s="21"/>
      <c r="AP74" s="21"/>
      <c r="AQ74" s="21"/>
      <c r="AR74" s="21"/>
      <c r="AS74" s="21"/>
      <c r="AT74" s="21"/>
      <c r="AU74" s="21"/>
      <c r="AV74" s="21"/>
      <c r="AW74" s="21"/>
      <c r="AX74" s="21"/>
      <c r="AY74" s="21"/>
      <c r="AZ74" s="21"/>
      <c r="BA74" s="21"/>
      <c r="BB74" s="21"/>
      <c r="BC74" s="21"/>
      <c r="BD74" s="21"/>
      <c r="BE74" s="21"/>
      <c r="BF74" s="39"/>
    </row>
    <row r="75" spans="1:58">
      <c r="A75" s="20"/>
      <c r="B75" s="21"/>
      <c r="C75" s="21"/>
      <c r="D75" s="21"/>
      <c r="E75" s="21"/>
      <c r="F75" s="21"/>
      <c r="G75" s="21"/>
      <c r="H75" s="21"/>
      <c r="I75" s="21"/>
      <c r="J75" s="21"/>
      <c r="K75" s="21"/>
      <c r="L75" s="21"/>
      <c r="M75" s="21"/>
      <c r="N75" s="21"/>
      <c r="O75" s="21"/>
      <c r="P75" s="21"/>
      <c r="Q75" s="21"/>
      <c r="R75" s="21"/>
      <c r="S75" s="21"/>
      <c r="T75" s="21"/>
      <c r="U75" s="21"/>
      <c r="V75" s="21"/>
      <c r="W75" s="21"/>
      <c r="X75" s="21"/>
      <c r="Y75" s="21"/>
      <c r="Z75" s="21"/>
      <c r="AA75" s="21"/>
      <c r="AB75" s="21"/>
      <c r="AC75" s="21"/>
      <c r="AD75" s="21"/>
      <c r="AE75" s="21"/>
      <c r="AF75" s="21"/>
      <c r="AG75" s="21"/>
      <c r="AH75" s="21"/>
      <c r="AI75" s="21"/>
      <c r="AJ75" s="21"/>
      <c r="AK75" s="21"/>
      <c r="AL75" s="21"/>
      <c r="AM75" s="21"/>
      <c r="AN75" s="21"/>
      <c r="AO75" s="21"/>
      <c r="AP75" s="21"/>
      <c r="AQ75" s="21"/>
      <c r="AR75" s="21"/>
      <c r="AS75" s="21"/>
      <c r="AT75" s="21"/>
      <c r="AU75" s="21"/>
      <c r="AV75" s="21"/>
      <c r="AW75" s="21"/>
      <c r="AX75" s="21"/>
      <c r="AY75" s="21"/>
      <c r="AZ75" s="21"/>
      <c r="BA75" s="21"/>
      <c r="BB75" s="21"/>
      <c r="BC75" s="21"/>
      <c r="BD75" s="21"/>
      <c r="BE75" s="21"/>
      <c r="BF75" s="39"/>
    </row>
    <row r="76" spans="1:58">
      <c r="A76" s="20"/>
      <c r="B76" s="21"/>
      <c r="C76" s="21"/>
      <c r="D76" s="21"/>
      <c r="E76" s="21"/>
      <c r="F76" s="21"/>
      <c r="G76" s="21"/>
      <c r="H76" s="21"/>
      <c r="I76" s="21"/>
      <c r="J76" s="21"/>
      <c r="K76" s="21"/>
      <c r="L76" s="21"/>
      <c r="M76" s="21"/>
      <c r="N76" s="21"/>
      <c r="O76" s="21"/>
      <c r="P76" s="21"/>
      <c r="Q76" s="21"/>
      <c r="R76" s="21"/>
      <c r="S76" s="21"/>
      <c r="T76" s="21"/>
      <c r="U76" s="21"/>
      <c r="V76" s="21"/>
      <c r="W76" s="21"/>
      <c r="X76" s="21"/>
      <c r="Y76" s="21"/>
      <c r="Z76" s="21"/>
      <c r="AA76" s="21"/>
      <c r="AB76" s="21"/>
      <c r="AC76" s="21"/>
      <c r="AD76" s="21"/>
      <c r="AE76" s="21"/>
      <c r="AF76" s="21"/>
      <c r="AG76" s="21"/>
      <c r="AH76" s="21"/>
      <c r="AI76" s="21"/>
      <c r="AJ76" s="21"/>
      <c r="AK76" s="21"/>
      <c r="AL76" s="21"/>
      <c r="AM76" s="21"/>
      <c r="AN76" s="21"/>
      <c r="AO76" s="21"/>
      <c r="AP76" s="21"/>
      <c r="AQ76" s="21"/>
      <c r="AR76" s="21"/>
      <c r="AS76" s="21"/>
      <c r="AT76" s="21"/>
      <c r="AU76" s="21"/>
      <c r="AV76" s="21"/>
      <c r="AW76" s="21"/>
      <c r="AX76" s="21"/>
      <c r="AY76" s="21"/>
      <c r="AZ76" s="21"/>
      <c r="BA76" s="21"/>
      <c r="BB76" s="21"/>
      <c r="BC76" s="21"/>
      <c r="BD76" s="21"/>
      <c r="BE76" s="21"/>
      <c r="BF76" s="39"/>
    </row>
    <row r="77" spans="1:58">
      <c r="A77" s="20"/>
      <c r="B77" s="21"/>
      <c r="C77" s="21"/>
      <c r="D77" s="21"/>
      <c r="E77" s="21"/>
      <c r="F77" s="21"/>
      <c r="G77" s="21"/>
      <c r="H77" s="21"/>
      <c r="I77" s="21"/>
      <c r="J77" s="21"/>
      <c r="K77" s="21"/>
      <c r="L77" s="21"/>
      <c r="M77" s="21"/>
      <c r="N77" s="21"/>
      <c r="O77" s="21"/>
      <c r="P77" s="21"/>
      <c r="Q77" s="21"/>
      <c r="R77" s="21"/>
      <c r="S77" s="21"/>
      <c r="T77" s="21"/>
      <c r="U77" s="21"/>
      <c r="V77" s="21"/>
      <c r="W77" s="21"/>
      <c r="X77" s="21"/>
      <c r="Y77" s="21"/>
      <c r="Z77" s="21"/>
      <c r="AA77" s="21"/>
      <c r="AB77" s="21"/>
      <c r="AC77" s="21"/>
      <c r="AD77" s="21"/>
      <c r="AE77" s="21"/>
      <c r="AF77" s="21"/>
      <c r="AG77" s="21"/>
      <c r="AH77" s="21"/>
      <c r="AI77" s="21"/>
      <c r="AJ77" s="21"/>
      <c r="AK77" s="21"/>
      <c r="AL77" s="21"/>
      <c r="AM77" s="21"/>
      <c r="AN77" s="21"/>
      <c r="AO77" s="21"/>
      <c r="AP77" s="21"/>
      <c r="AQ77" s="21"/>
      <c r="AR77" s="21"/>
      <c r="AS77" s="21"/>
      <c r="AT77" s="21"/>
      <c r="AU77" s="21"/>
      <c r="AV77" s="21"/>
      <c r="AW77" s="21"/>
      <c r="AX77" s="21"/>
      <c r="AY77" s="21"/>
      <c r="AZ77" s="21"/>
      <c r="BA77" s="21"/>
      <c r="BB77" s="21"/>
      <c r="BC77" s="21"/>
      <c r="BD77" s="21"/>
      <c r="BE77" s="21"/>
      <c r="BF77" s="39"/>
    </row>
    <row r="78" spans="1:58">
      <c r="A78" s="20"/>
      <c r="B78" s="21"/>
      <c r="C78" s="21"/>
      <c r="D78" s="21"/>
      <c r="E78" s="21"/>
      <c r="F78" s="21"/>
      <c r="G78" s="21"/>
      <c r="H78" s="21"/>
      <c r="I78" s="21"/>
      <c r="J78" s="21"/>
      <c r="K78" s="21"/>
      <c r="L78" s="21"/>
      <c r="M78" s="21"/>
      <c r="N78" s="21"/>
      <c r="O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21"/>
      <c r="BA78" s="21"/>
      <c r="BB78" s="21"/>
      <c r="BC78" s="21"/>
      <c r="BD78" s="21"/>
      <c r="BE78" s="21"/>
      <c r="BF78" s="39"/>
    </row>
    <row r="79" spans="1:58">
      <c r="A79" s="22"/>
      <c r="B79" s="23"/>
      <c r="C79" s="23"/>
      <c r="D79" s="23"/>
      <c r="E79" s="23"/>
      <c r="F79" s="23"/>
      <c r="G79" s="23"/>
      <c r="H79" s="23"/>
      <c r="I79" s="23"/>
      <c r="J79" s="23"/>
      <c r="K79" s="23"/>
      <c r="L79" s="23"/>
      <c r="M79" s="23"/>
      <c r="N79" s="23"/>
      <c r="O79" s="23"/>
      <c r="P79" s="23"/>
      <c r="Q79" s="23"/>
      <c r="R79" s="23"/>
      <c r="S79" s="23"/>
      <c r="T79" s="23"/>
      <c r="U79" s="23"/>
      <c r="V79" s="23"/>
      <c r="W79" s="23"/>
      <c r="X79" s="23"/>
      <c r="Y79" s="23"/>
      <c r="Z79" s="23"/>
      <c r="AA79" s="23"/>
      <c r="AB79" s="23"/>
      <c r="AC79" s="23"/>
      <c r="AD79" s="23"/>
      <c r="AE79" s="23"/>
      <c r="AF79" s="23"/>
      <c r="AG79" s="23"/>
      <c r="AH79" s="23"/>
      <c r="AI79" s="23"/>
      <c r="AJ79" s="23"/>
      <c r="AK79" s="23"/>
      <c r="AL79" s="23"/>
      <c r="AM79" s="23"/>
      <c r="AN79" s="23"/>
      <c r="AO79" s="23"/>
      <c r="AP79" s="23"/>
      <c r="AQ79" s="23"/>
      <c r="AR79" s="23"/>
      <c r="AS79" s="23"/>
      <c r="AT79" s="23"/>
      <c r="AU79" s="23"/>
      <c r="AV79" s="23"/>
      <c r="AW79" s="23"/>
      <c r="AX79" s="23"/>
      <c r="AY79" s="23"/>
      <c r="AZ79" s="23"/>
      <c r="BA79" s="23"/>
      <c r="BB79" s="23"/>
      <c r="BC79" s="23"/>
      <c r="BD79" s="23"/>
      <c r="BE79" s="23"/>
      <c r="BF79" s="40"/>
    </row>
  </sheetData>
  <mergeCells count="16">
    <mergeCell ref="A1:F1"/>
    <mergeCell ref="A2:F2"/>
    <mergeCell ref="AO2:AR2"/>
    <mergeCell ref="AO1:AR1"/>
    <mergeCell ref="G1:X1"/>
    <mergeCell ref="Y1:AD1"/>
    <mergeCell ref="AE1:AN1"/>
    <mergeCell ref="G2:X2"/>
    <mergeCell ref="Y2:AD2"/>
    <mergeCell ref="AE2:AN2"/>
    <mergeCell ref="BB1:BF1"/>
    <mergeCell ref="AX2:BA2"/>
    <mergeCell ref="BB2:BF2"/>
    <mergeCell ref="AS1:AW1"/>
    <mergeCell ref="AS2:AW2"/>
    <mergeCell ref="AX1:BA1"/>
  </mergeCells>
  <phoneticPr fontId="1"/>
  <pageMargins left="0.59055118110236227" right="0.39370078740157483" top="0.59055118110236227" bottom="0.59055118110236227" header="0.39370078740157483" footer="0.39370078740157483"/>
  <pageSetup paperSize="9" orientation="landscape" r:id="rId1"/>
  <headerFooter alignWithMargins="0">
    <oddFooter>&amp;C&amp;8- &amp;P-1 -&amp;R&amp;"明朝,標準"&amp;8Copyright © 2007 sample Corporation. All Rights Reserved.</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BF52"/>
  <sheetViews>
    <sheetView zoomScaleNormal="100" workbookViewId="0">
      <pane ySplit="3" topLeftCell="A4" activePane="bottomLeft" state="frozen"/>
      <selection sqref="A1:XFD2"/>
      <selection pane="bottomLeft" sqref="A1:F1"/>
    </sheetView>
  </sheetViews>
  <sheetFormatPr baseColWidth="10" defaultColWidth="2.6640625" defaultRowHeight="14"/>
  <cols>
    <col min="1" max="16384" width="2.6640625" style="1"/>
  </cols>
  <sheetData>
    <row r="1" spans="1:58">
      <c r="A1" s="60" t="s">
        <v>27</v>
      </c>
      <c r="B1" s="60"/>
      <c r="C1" s="60"/>
      <c r="D1" s="60"/>
      <c r="E1" s="60"/>
      <c r="F1" s="60"/>
      <c r="G1" s="67" t="str">
        <f ca="1">IF(ISBLANK(改訂履歴!G1),"",(改訂履歴!G1))</f>
        <v>DOC00001_詳細設計書_MIPG00001_テトリス_VBA</v>
      </c>
      <c r="H1" s="67"/>
      <c r="I1" s="67"/>
      <c r="J1" s="67"/>
      <c r="K1" s="67"/>
      <c r="L1" s="67"/>
      <c r="M1" s="67"/>
      <c r="N1" s="67"/>
      <c r="O1" s="67"/>
      <c r="P1" s="67"/>
      <c r="Q1" s="67"/>
      <c r="R1" s="67"/>
      <c r="S1" s="67"/>
      <c r="T1" s="67"/>
      <c r="U1" s="67"/>
      <c r="V1" s="67"/>
      <c r="W1" s="67"/>
      <c r="X1" s="67"/>
      <c r="Y1" s="60" t="s">
        <v>28</v>
      </c>
      <c r="Z1" s="60"/>
      <c r="AA1" s="60"/>
      <c r="AB1" s="60"/>
      <c r="AC1" s="60"/>
      <c r="AD1" s="60"/>
      <c r="AE1" s="67" t="str">
        <f ca="1">IF(ISBLANK(改訂履歴!$AE$1),"",(改訂履歴!$AE$1))</f>
        <v>DOC00001</v>
      </c>
      <c r="AF1" s="67"/>
      <c r="AG1" s="67"/>
      <c r="AH1" s="67"/>
      <c r="AI1" s="67"/>
      <c r="AJ1" s="67"/>
      <c r="AK1" s="67"/>
      <c r="AL1" s="67"/>
      <c r="AM1" s="67"/>
      <c r="AN1" s="67"/>
      <c r="AO1" s="60" t="s">
        <v>30</v>
      </c>
      <c r="AP1" s="60"/>
      <c r="AQ1" s="60"/>
      <c r="AR1" s="60"/>
      <c r="AS1" s="61" t="str">
        <f>IF(ISBLANK(改訂履歴!AS1),"",(改訂履歴!AS1))</f>
        <v>第1版</v>
      </c>
      <c r="AT1" s="62"/>
      <c r="AU1" s="62"/>
      <c r="AV1" s="62"/>
      <c r="AW1" s="63"/>
      <c r="AX1" s="60" t="s">
        <v>32</v>
      </c>
      <c r="AY1" s="60"/>
      <c r="AZ1" s="60"/>
      <c r="BA1" s="60"/>
      <c r="BB1" s="71" t="str">
        <f ca="1">IF(ISBLANK(改訂履歴!BB1),"",(改訂履歴!BB1))</f>
        <v>水谷</v>
      </c>
      <c r="BC1" s="72"/>
      <c r="BD1" s="72"/>
      <c r="BE1" s="72"/>
      <c r="BF1" s="73"/>
    </row>
    <row r="2" spans="1:58">
      <c r="A2" s="60" t="s">
        <v>0</v>
      </c>
      <c r="B2" s="60"/>
      <c r="C2" s="60"/>
      <c r="D2" s="60"/>
      <c r="E2" s="60"/>
      <c r="F2" s="60"/>
      <c r="G2" s="67" t="str">
        <f ca="1">IF(ISBLANK(改訂履歴!G2),"",(改訂履歴!G2))</f>
        <v>テトリス_VBA</v>
      </c>
      <c r="H2" s="67"/>
      <c r="I2" s="67"/>
      <c r="J2" s="67"/>
      <c r="K2" s="67"/>
      <c r="L2" s="67"/>
      <c r="M2" s="67"/>
      <c r="N2" s="67"/>
      <c r="O2" s="67"/>
      <c r="P2" s="67"/>
      <c r="Q2" s="67"/>
      <c r="R2" s="67"/>
      <c r="S2" s="67"/>
      <c r="T2" s="67"/>
      <c r="U2" s="67"/>
      <c r="V2" s="67"/>
      <c r="W2" s="67"/>
      <c r="X2" s="67"/>
      <c r="Y2" s="60" t="s">
        <v>4</v>
      </c>
      <c r="Z2" s="60"/>
      <c r="AA2" s="60"/>
      <c r="AB2" s="60"/>
      <c r="AC2" s="60"/>
      <c r="AD2" s="60"/>
      <c r="AE2" s="67" t="str">
        <f ca="1">IF(ISBLANK(改訂履歴!$AE$2),"",(改訂履歴!$AE$2))</f>
        <v>MIPG00001</v>
      </c>
      <c r="AF2" s="67"/>
      <c r="AG2" s="67"/>
      <c r="AH2" s="67"/>
      <c r="AI2" s="67"/>
      <c r="AJ2" s="67"/>
      <c r="AK2" s="67"/>
      <c r="AL2" s="67"/>
      <c r="AM2" s="67"/>
      <c r="AN2" s="67"/>
      <c r="AO2" s="60" t="s">
        <v>31</v>
      </c>
      <c r="AP2" s="60"/>
      <c r="AQ2" s="60"/>
      <c r="AR2" s="60"/>
      <c r="AS2" s="64">
        <f>IF(ISBLANK(改訂履歴!AS2),"",(改訂履歴!AS2))</f>
        <v>44871</v>
      </c>
      <c r="AT2" s="65"/>
      <c r="AU2" s="65"/>
      <c r="AV2" s="65"/>
      <c r="AW2" s="66"/>
      <c r="AX2" s="60" t="s">
        <v>33</v>
      </c>
      <c r="AY2" s="60"/>
      <c r="AZ2" s="60"/>
      <c r="BA2" s="60"/>
      <c r="BB2" s="64">
        <f ca="1">IF(ISBLANK(改訂履歴!BB2),"",(改訂履歴!BB2))</f>
        <v>44871</v>
      </c>
      <c r="BC2" s="65"/>
      <c r="BD2" s="65"/>
      <c r="BE2" s="65"/>
      <c r="BF2" s="66"/>
    </row>
    <row r="3" spans="1:58">
      <c r="B3" s="2"/>
    </row>
    <row r="4" spans="1:58">
      <c r="A4" s="3" t="s">
        <v>26</v>
      </c>
      <c r="B4" s="4"/>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4"/>
      <c r="AX4" s="5"/>
    </row>
    <row r="5" spans="1:58">
      <c r="A5" s="3" t="s">
        <v>20</v>
      </c>
      <c r="B5" s="6"/>
      <c r="C5" s="6"/>
      <c r="D5" s="6"/>
      <c r="E5" s="6"/>
      <c r="F5" s="6"/>
      <c r="G5" s="6"/>
      <c r="H5" s="6"/>
      <c r="I5" s="6"/>
      <c r="J5" s="6"/>
      <c r="K5" s="6"/>
      <c r="L5" s="6"/>
      <c r="M5" s="6"/>
      <c r="N5" s="6"/>
      <c r="O5" s="6"/>
      <c r="P5" s="6"/>
      <c r="Q5" s="6"/>
      <c r="R5" s="6"/>
      <c r="S5" s="6"/>
      <c r="T5" s="6"/>
      <c r="U5" s="6"/>
      <c r="V5" s="6"/>
      <c r="W5" s="6"/>
      <c r="X5" s="6"/>
      <c r="Y5" s="6"/>
      <c r="Z5" s="6"/>
      <c r="AA5" s="6"/>
      <c r="AB5" s="6"/>
      <c r="AC5" s="6"/>
      <c r="AD5" s="6"/>
      <c r="AE5" s="6"/>
      <c r="AF5" s="6"/>
      <c r="AG5" s="6"/>
      <c r="AH5" s="6"/>
      <c r="AI5" s="6"/>
      <c r="AJ5" s="6"/>
      <c r="AK5" s="6"/>
      <c r="AL5" s="6"/>
      <c r="AM5" s="6"/>
      <c r="AN5" s="6"/>
      <c r="AO5" s="6"/>
      <c r="AP5" s="6"/>
      <c r="AQ5" s="6"/>
      <c r="AR5" s="6"/>
      <c r="AS5" s="6"/>
      <c r="AT5" s="6"/>
      <c r="AU5" s="6"/>
      <c r="AV5" s="6"/>
      <c r="AW5" s="6"/>
      <c r="AX5" s="7"/>
    </row>
    <row r="6" spans="1:58">
      <c r="A6" s="8"/>
      <c r="B6" s="9"/>
      <c r="C6" s="9"/>
      <c r="D6" s="9"/>
      <c r="E6" s="9"/>
      <c r="F6" s="9"/>
      <c r="G6" s="9"/>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10"/>
    </row>
    <row r="7" spans="1:58">
      <c r="A7" s="11"/>
      <c r="B7" s="12"/>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3"/>
    </row>
    <row r="8" spans="1:58">
      <c r="A8" s="11"/>
      <c r="B8" s="12"/>
      <c r="C8" s="12"/>
      <c r="D8" s="12"/>
      <c r="E8" s="12"/>
      <c r="F8" s="12"/>
      <c r="G8" s="12"/>
      <c r="H8" s="12"/>
      <c r="I8" s="12"/>
      <c r="J8" s="12"/>
      <c r="K8" s="12"/>
      <c r="L8" s="12"/>
      <c r="M8" s="12"/>
      <c r="N8" s="12"/>
      <c r="O8" s="12"/>
      <c r="P8" s="12"/>
      <c r="Q8" s="12"/>
      <c r="R8" s="12"/>
      <c r="S8" s="12"/>
      <c r="T8" s="12"/>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3"/>
    </row>
    <row r="9" spans="1:58">
      <c r="A9" s="11"/>
      <c r="B9" s="12"/>
      <c r="C9" s="12"/>
      <c r="D9" s="12"/>
      <c r="E9" s="12"/>
      <c r="F9" s="12"/>
      <c r="G9" s="12"/>
      <c r="H9" s="12"/>
      <c r="I9" s="12"/>
      <c r="J9" s="12"/>
      <c r="K9" s="12"/>
      <c r="L9" s="12"/>
      <c r="M9" s="12"/>
      <c r="N9" s="12"/>
      <c r="O9" s="12"/>
      <c r="P9" s="12"/>
      <c r="Q9" s="12"/>
      <c r="R9" s="12"/>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3"/>
    </row>
    <row r="10" spans="1:58">
      <c r="A10" s="11"/>
      <c r="B10" s="12"/>
      <c r="C10" s="12"/>
      <c r="D10" s="12"/>
      <c r="E10" s="12"/>
      <c r="F10" s="12"/>
      <c r="G10" s="12"/>
      <c r="H10" s="12"/>
      <c r="I10" s="12"/>
      <c r="J10" s="12"/>
      <c r="K10" s="12"/>
      <c r="L10" s="12"/>
      <c r="M10" s="12"/>
      <c r="N10" s="12"/>
      <c r="O10" s="12"/>
      <c r="P10" s="12"/>
      <c r="Q10" s="12"/>
      <c r="R10" s="12"/>
      <c r="S10" s="12"/>
      <c r="T10" s="12"/>
      <c r="U10" s="12"/>
      <c r="V10" s="12"/>
      <c r="W10" s="12"/>
      <c r="X10" s="12"/>
      <c r="Y10" s="12"/>
      <c r="Z10" s="12"/>
      <c r="AA10" s="12"/>
      <c r="AB10" s="12"/>
      <c r="AC10" s="12"/>
      <c r="AD10" s="12"/>
      <c r="AE10" s="12"/>
      <c r="AF10" s="12"/>
      <c r="AG10" s="12"/>
      <c r="AH10" s="12"/>
      <c r="AI10" s="12"/>
      <c r="AJ10" s="12"/>
      <c r="AK10" s="12"/>
      <c r="AL10" s="12"/>
      <c r="AM10" s="12"/>
      <c r="AN10" s="12"/>
      <c r="AO10" s="12"/>
      <c r="AP10" s="12"/>
      <c r="AQ10" s="12"/>
      <c r="AR10" s="12"/>
      <c r="AS10" s="12"/>
      <c r="AT10" s="12"/>
      <c r="AU10" s="12"/>
      <c r="AV10" s="12"/>
      <c r="AW10" s="12"/>
      <c r="AX10" s="13"/>
    </row>
    <row r="11" spans="1:58">
      <c r="A11" s="11"/>
      <c r="B11" s="12"/>
      <c r="C11" s="12"/>
      <c r="D11" s="12"/>
      <c r="E11" s="12"/>
      <c r="F11" s="12"/>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c r="AN11" s="12"/>
      <c r="AO11" s="12"/>
      <c r="AP11" s="12"/>
      <c r="AQ11" s="12"/>
      <c r="AR11" s="12"/>
      <c r="AS11" s="12"/>
      <c r="AT11" s="12"/>
      <c r="AU11" s="12"/>
      <c r="AV11" s="12"/>
      <c r="AW11" s="12"/>
      <c r="AX11" s="13"/>
    </row>
    <row r="12" spans="1:58">
      <c r="A12" s="11"/>
      <c r="B12" s="12"/>
      <c r="C12" s="12"/>
      <c r="D12" s="12"/>
      <c r="E12" s="12"/>
      <c r="F12" s="12"/>
      <c r="G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3"/>
    </row>
    <row r="13" spans="1:58">
      <c r="A13" s="11"/>
      <c r="B13" s="12"/>
      <c r="C13" s="12"/>
      <c r="D13" s="12"/>
      <c r="E13" s="12"/>
      <c r="F13" s="12"/>
      <c r="G13" s="12"/>
      <c r="H13" s="12"/>
      <c r="I13" s="12"/>
      <c r="J13" s="12"/>
      <c r="K13" s="12"/>
      <c r="L13" s="12"/>
      <c r="M13" s="12"/>
      <c r="N13" s="12"/>
      <c r="O13" s="12"/>
      <c r="P13" s="12"/>
      <c r="Q13" s="12"/>
      <c r="R13" s="12"/>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c r="AU13" s="12"/>
      <c r="AV13" s="12"/>
      <c r="AW13" s="12"/>
      <c r="AX13" s="13"/>
    </row>
    <row r="14" spans="1:58">
      <c r="A14" s="11"/>
      <c r="B14" s="12"/>
      <c r="C14" s="12"/>
      <c r="D14" s="12"/>
      <c r="E14" s="12"/>
      <c r="F14" s="12"/>
      <c r="G14" s="12"/>
      <c r="H14" s="12"/>
      <c r="I14" s="12"/>
      <c r="J14" s="12"/>
      <c r="K14" s="12"/>
      <c r="L14" s="12"/>
      <c r="M14" s="12"/>
      <c r="N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2"/>
      <c r="AN14" s="12"/>
      <c r="AO14" s="12"/>
      <c r="AP14" s="12"/>
      <c r="AQ14" s="12"/>
      <c r="AR14" s="12"/>
      <c r="AS14" s="12"/>
      <c r="AT14" s="12"/>
      <c r="AU14" s="12"/>
      <c r="AV14" s="12"/>
      <c r="AW14" s="12"/>
      <c r="AX14" s="13"/>
    </row>
    <row r="15" spans="1:58">
      <c r="A15" s="14"/>
      <c r="B15" s="15"/>
      <c r="C15" s="15"/>
      <c r="D15" s="15"/>
      <c r="E15" s="15"/>
      <c r="F15" s="15"/>
      <c r="G15" s="15"/>
      <c r="H15" s="15"/>
      <c r="I15" s="15"/>
      <c r="J15" s="15"/>
      <c r="K15" s="15"/>
      <c r="L15" s="15"/>
      <c r="M15" s="15"/>
      <c r="N15" s="15"/>
      <c r="O15" s="15"/>
      <c r="P15" s="15"/>
      <c r="Q15" s="15"/>
      <c r="R15" s="15"/>
      <c r="S15" s="15"/>
      <c r="T15" s="15"/>
      <c r="U15" s="15"/>
      <c r="V15" s="15"/>
      <c r="W15" s="15"/>
      <c r="X15" s="15"/>
      <c r="Y15" s="15"/>
      <c r="Z15" s="15"/>
      <c r="AA15" s="15"/>
      <c r="AB15" s="15"/>
      <c r="AC15" s="15"/>
      <c r="AD15" s="15"/>
      <c r="AE15" s="15"/>
      <c r="AF15" s="15"/>
      <c r="AG15" s="15"/>
      <c r="AH15" s="15"/>
      <c r="AI15" s="15"/>
      <c r="AJ15" s="15"/>
      <c r="AK15" s="15"/>
      <c r="AL15" s="15"/>
      <c r="AM15" s="15"/>
      <c r="AN15" s="15"/>
      <c r="AO15" s="15"/>
      <c r="AP15" s="15"/>
      <c r="AQ15" s="15"/>
      <c r="AR15" s="15"/>
      <c r="AS15" s="15"/>
      <c r="AT15" s="15"/>
      <c r="AU15" s="15"/>
      <c r="AV15" s="15"/>
      <c r="AW15" s="15"/>
      <c r="AX15" s="16"/>
    </row>
    <row r="16" spans="1:58">
      <c r="A16" s="17" t="s">
        <v>21</v>
      </c>
      <c r="B16" s="18"/>
      <c r="C16" s="18"/>
      <c r="D16" s="18"/>
      <c r="E16" s="18"/>
      <c r="F16" s="18"/>
      <c r="G16" s="18"/>
      <c r="H16" s="18"/>
      <c r="I16" s="18"/>
      <c r="J16" s="18"/>
      <c r="K16" s="18"/>
      <c r="L16" s="18"/>
      <c r="M16" s="18"/>
      <c r="N16" s="18"/>
      <c r="O16" s="18"/>
      <c r="P16" s="18"/>
      <c r="Q16" s="18"/>
      <c r="R16" s="18"/>
      <c r="S16" s="18"/>
      <c r="T16" s="18"/>
      <c r="U16" s="18"/>
      <c r="V16" s="18"/>
      <c r="W16" s="18"/>
      <c r="X16" s="18"/>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c r="AX16" s="19"/>
    </row>
    <row r="17" spans="1:50">
      <c r="A17" s="8"/>
      <c r="B17" s="9"/>
      <c r="C17" s="9"/>
      <c r="D17" s="9"/>
      <c r="E17" s="9"/>
      <c r="F17" s="9"/>
      <c r="G17" s="9"/>
      <c r="H17" s="9"/>
      <c r="I17" s="9"/>
      <c r="J17" s="9"/>
      <c r="K17" s="9"/>
      <c r="L17" s="9"/>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10"/>
    </row>
    <row r="18" spans="1:50">
      <c r="A18" s="11"/>
      <c r="B18" s="12"/>
      <c r="C18" s="12"/>
      <c r="D18" s="12"/>
      <c r="E18" s="12"/>
      <c r="F18" s="12"/>
      <c r="G18" s="12"/>
      <c r="H18" s="12"/>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12"/>
      <c r="AI18" s="12"/>
      <c r="AJ18" s="12"/>
      <c r="AK18" s="12"/>
      <c r="AL18" s="12"/>
      <c r="AM18" s="12"/>
      <c r="AN18" s="12"/>
      <c r="AO18" s="12"/>
      <c r="AP18" s="12"/>
      <c r="AQ18" s="12"/>
      <c r="AR18" s="12"/>
      <c r="AS18" s="12"/>
      <c r="AT18" s="12"/>
      <c r="AU18" s="12"/>
      <c r="AV18" s="12"/>
      <c r="AW18" s="12"/>
      <c r="AX18" s="13"/>
    </row>
    <row r="19" spans="1:50">
      <c r="A19" s="11"/>
      <c r="B19" s="12"/>
      <c r="C19" s="12"/>
      <c r="D19" s="12"/>
      <c r="E19" s="12"/>
      <c r="F19" s="12"/>
      <c r="G19" s="12"/>
      <c r="H19" s="12"/>
      <c r="I19" s="12"/>
      <c r="J19" s="12"/>
      <c r="K19" s="12"/>
      <c r="L19" s="12"/>
      <c r="M19" s="12"/>
      <c r="N19" s="12"/>
      <c r="O19" s="12"/>
      <c r="P19" s="12"/>
      <c r="Q19" s="12"/>
      <c r="R19" s="12"/>
      <c r="S19" s="12"/>
      <c r="T19" s="12"/>
      <c r="U19" s="12"/>
      <c r="V19" s="12"/>
      <c r="W19" s="12"/>
      <c r="X19" s="12"/>
      <c r="Y19" s="12"/>
      <c r="Z19" s="12"/>
      <c r="AA19" s="12"/>
      <c r="AB19" s="12"/>
      <c r="AC19" s="12"/>
      <c r="AD19" s="12"/>
      <c r="AE19" s="12"/>
      <c r="AF19" s="12"/>
      <c r="AG19" s="12"/>
      <c r="AH19" s="12"/>
      <c r="AI19" s="12"/>
      <c r="AJ19" s="12"/>
      <c r="AK19" s="12"/>
      <c r="AL19" s="12"/>
      <c r="AM19" s="12"/>
      <c r="AN19" s="12"/>
      <c r="AO19" s="12"/>
      <c r="AP19" s="12"/>
      <c r="AQ19" s="12"/>
      <c r="AR19" s="12"/>
      <c r="AS19" s="12"/>
      <c r="AT19" s="12"/>
      <c r="AU19" s="12"/>
      <c r="AV19" s="12"/>
      <c r="AW19" s="12"/>
      <c r="AX19" s="13"/>
    </row>
    <row r="20" spans="1:50">
      <c r="A20" s="11"/>
      <c r="B20" s="12"/>
      <c r="C20" s="12"/>
      <c r="D20" s="12"/>
      <c r="E20" s="12"/>
      <c r="F20" s="12"/>
      <c r="G20" s="12"/>
      <c r="H20" s="12"/>
      <c r="I20" s="12"/>
      <c r="J20" s="12"/>
      <c r="K20" s="12"/>
      <c r="L20" s="12"/>
      <c r="M20" s="12"/>
      <c r="N20" s="12"/>
      <c r="O20" s="12"/>
      <c r="P20" s="12"/>
      <c r="Q20" s="12"/>
      <c r="R20" s="12"/>
      <c r="S20" s="12"/>
      <c r="T20" s="12"/>
      <c r="U20" s="12"/>
      <c r="V20" s="12"/>
      <c r="W20" s="12"/>
      <c r="X20" s="12"/>
      <c r="Y20" s="12"/>
      <c r="Z20" s="12"/>
      <c r="AA20" s="12"/>
      <c r="AB20" s="12"/>
      <c r="AC20" s="12"/>
      <c r="AD20" s="12"/>
      <c r="AE20" s="12"/>
      <c r="AF20" s="12"/>
      <c r="AG20" s="12"/>
      <c r="AH20" s="12"/>
      <c r="AI20" s="12"/>
      <c r="AJ20" s="12"/>
      <c r="AK20" s="12"/>
      <c r="AL20" s="12"/>
      <c r="AM20" s="12"/>
      <c r="AN20" s="12"/>
      <c r="AO20" s="12"/>
      <c r="AP20" s="12"/>
      <c r="AQ20" s="12"/>
      <c r="AR20" s="12"/>
      <c r="AS20" s="12"/>
      <c r="AT20" s="12"/>
      <c r="AU20" s="12"/>
      <c r="AV20" s="12"/>
      <c r="AW20" s="12"/>
      <c r="AX20" s="13"/>
    </row>
    <row r="21" spans="1:50">
      <c r="A21" s="11"/>
      <c r="B21" s="12"/>
      <c r="C21" s="12"/>
      <c r="D21" s="12"/>
      <c r="E21" s="12"/>
      <c r="F21" s="12"/>
      <c r="G21" s="12"/>
      <c r="H21" s="12"/>
      <c r="I21" s="12"/>
      <c r="J21" s="12"/>
      <c r="K21" s="12"/>
      <c r="L21" s="12"/>
      <c r="M21" s="12"/>
      <c r="N21" s="12"/>
      <c r="O21" s="12"/>
      <c r="P21" s="12"/>
      <c r="Q21" s="12"/>
      <c r="R21" s="12"/>
      <c r="S21" s="12"/>
      <c r="T21" s="12"/>
      <c r="U21" s="12"/>
      <c r="V21" s="12"/>
      <c r="W21" s="12"/>
      <c r="X21" s="12"/>
      <c r="Y21" s="12"/>
      <c r="Z21" s="12"/>
      <c r="AA21" s="12"/>
      <c r="AB21" s="12"/>
      <c r="AC21" s="12"/>
      <c r="AD21" s="12"/>
      <c r="AE21" s="12"/>
      <c r="AF21" s="12"/>
      <c r="AG21" s="12"/>
      <c r="AH21" s="12"/>
      <c r="AI21" s="12"/>
      <c r="AJ21" s="12"/>
      <c r="AK21" s="12"/>
      <c r="AL21" s="12"/>
      <c r="AM21" s="12"/>
      <c r="AN21" s="12"/>
      <c r="AO21" s="12"/>
      <c r="AP21" s="12"/>
      <c r="AQ21" s="12"/>
      <c r="AR21" s="12"/>
      <c r="AS21" s="12"/>
      <c r="AT21" s="12"/>
      <c r="AU21" s="12"/>
      <c r="AV21" s="12"/>
      <c r="AW21" s="12"/>
      <c r="AX21" s="13"/>
    </row>
    <row r="22" spans="1:50">
      <c r="A22" s="11"/>
      <c r="B22" s="12"/>
      <c r="C22" s="12"/>
      <c r="D22" s="12"/>
      <c r="E22" s="12"/>
      <c r="F22" s="12"/>
      <c r="G22" s="12"/>
      <c r="H22" s="12"/>
      <c r="I22" s="12"/>
      <c r="J22" s="12"/>
      <c r="K22" s="12"/>
      <c r="L22" s="12"/>
      <c r="M22" s="12"/>
      <c r="N22" s="12"/>
      <c r="O22" s="12"/>
      <c r="P22" s="12"/>
      <c r="Q22" s="12"/>
      <c r="R22" s="12"/>
      <c r="S22" s="12"/>
      <c r="T22" s="12"/>
      <c r="U22" s="12"/>
      <c r="V22" s="12"/>
      <c r="W22" s="12"/>
      <c r="X22" s="12"/>
      <c r="Y22" s="12"/>
      <c r="Z22" s="12"/>
      <c r="AA22" s="12"/>
      <c r="AB22" s="12"/>
      <c r="AC22" s="12"/>
      <c r="AD22" s="12"/>
      <c r="AE22" s="12"/>
      <c r="AF22" s="12"/>
      <c r="AG22" s="12"/>
      <c r="AH22" s="12"/>
      <c r="AI22" s="12"/>
      <c r="AJ22" s="12"/>
      <c r="AK22" s="12"/>
      <c r="AL22" s="12"/>
      <c r="AM22" s="12"/>
      <c r="AN22" s="12"/>
      <c r="AO22" s="12"/>
      <c r="AP22" s="12"/>
      <c r="AQ22" s="12"/>
      <c r="AR22" s="12"/>
      <c r="AS22" s="12"/>
      <c r="AT22" s="12"/>
      <c r="AU22" s="12"/>
      <c r="AV22" s="12"/>
      <c r="AW22" s="12"/>
      <c r="AX22" s="13"/>
    </row>
    <row r="23" spans="1:50">
      <c r="A23" s="11"/>
      <c r="B23" s="12"/>
      <c r="C23" s="12"/>
      <c r="D23" s="12"/>
      <c r="E23" s="12"/>
      <c r="F23" s="12"/>
      <c r="G23" s="12"/>
      <c r="H23" s="12"/>
      <c r="I23" s="12"/>
      <c r="J23" s="12"/>
      <c r="K23" s="12"/>
      <c r="L23" s="12"/>
      <c r="M23" s="12"/>
      <c r="N23" s="12"/>
      <c r="O23" s="12"/>
      <c r="P23" s="12"/>
      <c r="Q23" s="12"/>
      <c r="R23" s="12"/>
      <c r="S23" s="12"/>
      <c r="T23" s="12"/>
      <c r="U23" s="12"/>
      <c r="V23" s="12"/>
      <c r="W23" s="12"/>
      <c r="X23" s="12"/>
      <c r="Y23" s="12"/>
      <c r="Z23" s="12"/>
      <c r="AA23" s="12"/>
      <c r="AB23" s="12"/>
      <c r="AC23" s="12"/>
      <c r="AD23" s="12"/>
      <c r="AE23" s="12"/>
      <c r="AF23" s="12"/>
      <c r="AG23" s="12"/>
      <c r="AH23" s="12"/>
      <c r="AI23" s="12"/>
      <c r="AJ23" s="12"/>
      <c r="AK23" s="12"/>
      <c r="AL23" s="12"/>
      <c r="AM23" s="12"/>
      <c r="AN23" s="12"/>
      <c r="AO23" s="12"/>
      <c r="AP23" s="12"/>
      <c r="AQ23" s="12"/>
      <c r="AR23" s="12"/>
      <c r="AS23" s="12"/>
      <c r="AT23" s="12"/>
      <c r="AU23" s="12"/>
      <c r="AV23" s="12"/>
      <c r="AW23" s="12"/>
      <c r="AX23" s="13"/>
    </row>
    <row r="24" spans="1:50">
      <c r="A24" s="11"/>
      <c r="B24" s="12"/>
      <c r="C24" s="12"/>
      <c r="D24" s="12"/>
      <c r="E24" s="12"/>
      <c r="F24" s="12"/>
      <c r="G24" s="12"/>
      <c r="H24" s="12"/>
      <c r="I24" s="12"/>
      <c r="J24" s="12"/>
      <c r="K24" s="12"/>
      <c r="L24" s="12"/>
      <c r="M24" s="12"/>
      <c r="N24" s="12"/>
      <c r="O24" s="12"/>
      <c r="P24" s="12"/>
      <c r="Q24" s="12"/>
      <c r="R24" s="12"/>
      <c r="S24" s="12"/>
      <c r="T24" s="12"/>
      <c r="U24" s="12"/>
      <c r="V24" s="12"/>
      <c r="W24" s="12"/>
      <c r="X24" s="12"/>
      <c r="Y24" s="12"/>
      <c r="Z24" s="12"/>
      <c r="AA24" s="12"/>
      <c r="AB24" s="12"/>
      <c r="AC24" s="12"/>
      <c r="AD24" s="12"/>
      <c r="AE24" s="12"/>
      <c r="AF24" s="12"/>
      <c r="AG24" s="12"/>
      <c r="AH24" s="12"/>
      <c r="AI24" s="12"/>
      <c r="AJ24" s="12"/>
      <c r="AK24" s="12"/>
      <c r="AL24" s="12"/>
      <c r="AM24" s="12"/>
      <c r="AN24" s="12"/>
      <c r="AO24" s="12"/>
      <c r="AP24" s="12"/>
      <c r="AQ24" s="12"/>
      <c r="AR24" s="12"/>
      <c r="AS24" s="12"/>
      <c r="AT24" s="12"/>
      <c r="AU24" s="12"/>
      <c r="AV24" s="12"/>
      <c r="AW24" s="12"/>
      <c r="AX24" s="13"/>
    </row>
    <row r="25" spans="1:50">
      <c r="A25" s="11"/>
      <c r="B25" s="12"/>
      <c r="C25" s="12"/>
      <c r="D25" s="12"/>
      <c r="E25" s="12"/>
      <c r="F25" s="12"/>
      <c r="G25" s="12"/>
      <c r="H25" s="12"/>
      <c r="I25" s="12"/>
      <c r="J25" s="12"/>
      <c r="K25" s="12"/>
      <c r="L25" s="12"/>
      <c r="M25" s="12"/>
      <c r="N25" s="12"/>
      <c r="O25" s="12"/>
      <c r="P25" s="12"/>
      <c r="Q25" s="12"/>
      <c r="R25" s="12"/>
      <c r="S25" s="12"/>
      <c r="T25" s="12"/>
      <c r="U25" s="12"/>
      <c r="V25" s="12"/>
      <c r="W25" s="12"/>
      <c r="X25" s="12"/>
      <c r="Y25" s="12"/>
      <c r="Z25" s="12"/>
      <c r="AA25" s="12"/>
      <c r="AB25" s="12"/>
      <c r="AC25" s="12"/>
      <c r="AD25" s="12"/>
      <c r="AE25" s="12"/>
      <c r="AF25" s="12"/>
      <c r="AG25" s="12"/>
      <c r="AH25" s="12"/>
      <c r="AI25" s="12"/>
      <c r="AJ25" s="12"/>
      <c r="AK25" s="12"/>
      <c r="AL25" s="12"/>
      <c r="AM25" s="12"/>
      <c r="AN25" s="12"/>
      <c r="AO25" s="12"/>
      <c r="AP25" s="12"/>
      <c r="AQ25" s="12"/>
      <c r="AR25" s="12"/>
      <c r="AS25" s="12"/>
      <c r="AT25" s="12"/>
      <c r="AU25" s="12"/>
      <c r="AV25" s="12"/>
      <c r="AW25" s="12"/>
      <c r="AX25" s="13"/>
    </row>
    <row r="26" spans="1:50">
      <c r="A26" s="14"/>
      <c r="B26" s="15"/>
      <c r="C26" s="15"/>
      <c r="D26" s="15"/>
      <c r="E26" s="15"/>
      <c r="F26" s="15"/>
      <c r="G26" s="15"/>
      <c r="H26" s="15"/>
      <c r="I26" s="15"/>
      <c r="J26" s="15"/>
      <c r="K26" s="15"/>
      <c r="L26" s="15"/>
      <c r="M26" s="15"/>
      <c r="N26" s="15"/>
      <c r="O26" s="15"/>
      <c r="P26" s="15"/>
      <c r="Q26" s="15"/>
      <c r="R26" s="15"/>
      <c r="S26" s="15"/>
      <c r="T26" s="15"/>
      <c r="U26" s="15"/>
      <c r="V26" s="15"/>
      <c r="W26" s="15"/>
      <c r="X26" s="15"/>
      <c r="Y26" s="15"/>
      <c r="Z26" s="15"/>
      <c r="AA26" s="15"/>
      <c r="AB26" s="15"/>
      <c r="AC26" s="15"/>
      <c r="AD26" s="15"/>
      <c r="AE26" s="15"/>
      <c r="AF26" s="15"/>
      <c r="AG26" s="15"/>
      <c r="AH26" s="15"/>
      <c r="AI26" s="15"/>
      <c r="AJ26" s="15"/>
      <c r="AK26" s="15"/>
      <c r="AL26" s="15"/>
      <c r="AM26" s="15"/>
      <c r="AN26" s="15"/>
      <c r="AO26" s="15"/>
      <c r="AP26" s="15"/>
      <c r="AQ26" s="15"/>
      <c r="AR26" s="15"/>
      <c r="AS26" s="15"/>
      <c r="AT26" s="15"/>
      <c r="AU26" s="15"/>
      <c r="AV26" s="15"/>
      <c r="AW26" s="15"/>
      <c r="AX26" s="16"/>
    </row>
    <row r="27" spans="1:50">
      <c r="A27" s="17" t="s">
        <v>22</v>
      </c>
      <c r="B27" s="18"/>
      <c r="C27" s="18"/>
      <c r="D27" s="18"/>
      <c r="E27" s="18"/>
      <c r="F27" s="18"/>
      <c r="G27" s="18"/>
      <c r="H27" s="18"/>
      <c r="I27" s="18"/>
      <c r="J27" s="18"/>
      <c r="K27" s="18"/>
      <c r="L27" s="18"/>
      <c r="M27" s="18"/>
      <c r="N27" s="18"/>
      <c r="O27" s="18"/>
      <c r="P27" s="18"/>
      <c r="Q27" s="18"/>
      <c r="R27" s="18"/>
      <c r="S27" s="18"/>
      <c r="T27" s="18"/>
      <c r="U27" s="18"/>
      <c r="V27" s="18"/>
      <c r="W27" s="18"/>
      <c r="X27" s="18"/>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c r="AX27" s="19"/>
    </row>
    <row r="28" spans="1:50">
      <c r="A28" s="8"/>
      <c r="B28" s="9"/>
      <c r="C28" s="9"/>
      <c r="D28" s="9"/>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10"/>
    </row>
    <row r="29" spans="1:50">
      <c r="A29" s="11"/>
      <c r="B29" s="12"/>
      <c r="C29" s="12"/>
      <c r="D29" s="12"/>
      <c r="E29" s="12"/>
      <c r="F29" s="12"/>
      <c r="G29" s="12"/>
      <c r="H29" s="12"/>
      <c r="I29" s="12"/>
      <c r="J29" s="12"/>
      <c r="K29" s="12"/>
      <c r="L29" s="12"/>
      <c r="M29" s="12"/>
      <c r="N29" s="12"/>
      <c r="O29" s="12"/>
      <c r="P29" s="12"/>
      <c r="Q29" s="12"/>
      <c r="R29" s="12"/>
      <c r="S29" s="12"/>
      <c r="T29" s="12"/>
      <c r="U29" s="12"/>
      <c r="V29" s="12"/>
      <c r="W29" s="12"/>
      <c r="X29" s="12"/>
      <c r="Y29" s="12"/>
      <c r="Z29" s="12"/>
      <c r="AA29" s="12"/>
      <c r="AB29" s="12"/>
      <c r="AC29" s="12"/>
      <c r="AD29" s="12"/>
      <c r="AE29" s="12"/>
      <c r="AF29" s="12"/>
      <c r="AG29" s="12"/>
      <c r="AH29" s="12"/>
      <c r="AI29" s="12"/>
      <c r="AJ29" s="12"/>
      <c r="AK29" s="12"/>
      <c r="AL29" s="12"/>
      <c r="AM29" s="12"/>
      <c r="AN29" s="12"/>
      <c r="AO29" s="12"/>
      <c r="AP29" s="12"/>
      <c r="AQ29" s="12"/>
      <c r="AR29" s="12"/>
      <c r="AS29" s="12"/>
      <c r="AT29" s="12"/>
      <c r="AU29" s="12"/>
      <c r="AV29" s="12"/>
      <c r="AW29" s="12"/>
      <c r="AX29" s="13"/>
    </row>
    <row r="30" spans="1:50">
      <c r="A30" s="11"/>
      <c r="B30" s="12"/>
      <c r="C30" s="12"/>
      <c r="D30" s="12"/>
      <c r="E30" s="12"/>
      <c r="F30" s="12"/>
      <c r="G30" s="12"/>
      <c r="H30" s="12"/>
      <c r="I30" s="12"/>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c r="AJ30" s="12"/>
      <c r="AK30" s="12"/>
      <c r="AL30" s="12"/>
      <c r="AM30" s="12"/>
      <c r="AN30" s="12"/>
      <c r="AO30" s="12"/>
      <c r="AP30" s="12"/>
      <c r="AQ30" s="12"/>
      <c r="AR30" s="12"/>
      <c r="AS30" s="12"/>
      <c r="AT30" s="12"/>
      <c r="AU30" s="12"/>
      <c r="AV30" s="12"/>
      <c r="AW30" s="12"/>
      <c r="AX30" s="13"/>
    </row>
    <row r="31" spans="1:50">
      <c r="A31" s="11"/>
      <c r="B31" s="12"/>
      <c r="C31" s="12"/>
      <c r="D31" s="12"/>
      <c r="E31" s="12"/>
      <c r="F31" s="12"/>
      <c r="G31" s="12"/>
      <c r="H31" s="12"/>
      <c r="I31" s="12"/>
      <c r="J31" s="12"/>
      <c r="K31" s="12"/>
      <c r="L31" s="12"/>
      <c r="M31" s="12"/>
      <c r="N31" s="12"/>
      <c r="O31" s="12"/>
      <c r="P31" s="12"/>
      <c r="Q31" s="12"/>
      <c r="R31" s="12"/>
      <c r="S31" s="12"/>
      <c r="T31" s="12"/>
      <c r="U31" s="12"/>
      <c r="V31" s="12"/>
      <c r="W31" s="12"/>
      <c r="X31" s="12"/>
      <c r="Y31" s="12"/>
      <c r="Z31" s="12"/>
      <c r="AA31" s="12"/>
      <c r="AB31" s="12"/>
      <c r="AC31" s="12"/>
      <c r="AD31" s="12"/>
      <c r="AE31" s="12"/>
      <c r="AF31" s="12"/>
      <c r="AG31" s="12"/>
      <c r="AH31" s="12"/>
      <c r="AI31" s="12"/>
      <c r="AJ31" s="12"/>
      <c r="AK31" s="12"/>
      <c r="AL31" s="12"/>
      <c r="AM31" s="12"/>
      <c r="AN31" s="12"/>
      <c r="AO31" s="12"/>
      <c r="AP31" s="12"/>
      <c r="AQ31" s="12"/>
      <c r="AR31" s="12"/>
      <c r="AS31" s="12"/>
      <c r="AT31" s="12"/>
      <c r="AU31" s="12"/>
      <c r="AV31" s="12"/>
      <c r="AW31" s="12"/>
      <c r="AX31" s="13"/>
    </row>
    <row r="32" spans="1:50">
      <c r="A32" s="11"/>
      <c r="B32" s="12"/>
      <c r="C32" s="12"/>
      <c r="D32" s="12"/>
      <c r="E32" s="12"/>
      <c r="F32" s="12"/>
      <c r="G32" s="12"/>
      <c r="H32" s="12"/>
      <c r="I32" s="12"/>
      <c r="J32" s="12"/>
      <c r="K32" s="12"/>
      <c r="L32" s="12"/>
      <c r="M32" s="12"/>
      <c r="N32" s="12"/>
      <c r="O32" s="12"/>
      <c r="P32" s="12"/>
      <c r="Q32" s="12"/>
      <c r="R32" s="12"/>
      <c r="S32" s="12"/>
      <c r="T32" s="12"/>
      <c r="U32" s="12"/>
      <c r="V32" s="12"/>
      <c r="W32" s="12"/>
      <c r="X32" s="12"/>
      <c r="Y32" s="12"/>
      <c r="Z32" s="12"/>
      <c r="AA32" s="12"/>
      <c r="AB32" s="12"/>
      <c r="AC32" s="12"/>
      <c r="AD32" s="12"/>
      <c r="AE32" s="12"/>
      <c r="AF32" s="12"/>
      <c r="AG32" s="12"/>
      <c r="AH32" s="12"/>
      <c r="AI32" s="12"/>
      <c r="AJ32" s="12"/>
      <c r="AK32" s="12"/>
      <c r="AL32" s="12"/>
      <c r="AM32" s="12"/>
      <c r="AN32" s="12"/>
      <c r="AO32" s="12"/>
      <c r="AP32" s="12"/>
      <c r="AQ32" s="12"/>
      <c r="AR32" s="12"/>
      <c r="AS32" s="12"/>
      <c r="AT32" s="12"/>
      <c r="AU32" s="12"/>
      <c r="AV32" s="12"/>
      <c r="AW32" s="12"/>
      <c r="AX32" s="13"/>
    </row>
    <row r="33" spans="1:50">
      <c r="A33" s="11"/>
      <c r="B33" s="12"/>
      <c r="C33" s="12"/>
      <c r="D33" s="12"/>
      <c r="E33" s="12"/>
      <c r="F33" s="12"/>
      <c r="G33" s="12"/>
      <c r="H33" s="12"/>
      <c r="I33" s="12"/>
      <c r="J33" s="12"/>
      <c r="K33" s="12"/>
      <c r="L33" s="12"/>
      <c r="M33" s="12"/>
      <c r="N33" s="12"/>
      <c r="O33" s="12"/>
      <c r="P33" s="12"/>
      <c r="Q33" s="12"/>
      <c r="R33" s="12"/>
      <c r="S33" s="12"/>
      <c r="T33" s="12"/>
      <c r="U33" s="12"/>
      <c r="V33" s="12"/>
      <c r="W33" s="12"/>
      <c r="X33" s="12"/>
      <c r="Y33" s="12"/>
      <c r="Z33" s="12"/>
      <c r="AA33" s="12"/>
      <c r="AB33" s="12"/>
      <c r="AC33" s="12"/>
      <c r="AD33" s="12"/>
      <c r="AE33" s="12"/>
      <c r="AF33" s="12"/>
      <c r="AG33" s="12"/>
      <c r="AH33" s="12"/>
      <c r="AI33" s="12"/>
      <c r="AJ33" s="12"/>
      <c r="AK33" s="12"/>
      <c r="AL33" s="12"/>
      <c r="AM33" s="12"/>
      <c r="AN33" s="12"/>
      <c r="AO33" s="12"/>
      <c r="AP33" s="12"/>
      <c r="AQ33" s="12"/>
      <c r="AR33" s="12"/>
      <c r="AS33" s="12"/>
      <c r="AT33" s="12"/>
      <c r="AU33" s="12"/>
      <c r="AV33" s="12"/>
      <c r="AW33" s="12"/>
      <c r="AX33" s="13"/>
    </row>
    <row r="34" spans="1:50">
      <c r="A34" s="11"/>
      <c r="B34" s="12"/>
      <c r="C34" s="12"/>
      <c r="D34" s="12"/>
      <c r="E34" s="12"/>
      <c r="F34" s="12"/>
      <c r="G34" s="12"/>
      <c r="H34" s="12"/>
      <c r="I34" s="12"/>
      <c r="J34" s="12"/>
      <c r="K34" s="12"/>
      <c r="L34" s="12"/>
      <c r="M34" s="12"/>
      <c r="N34" s="12"/>
      <c r="O34" s="12"/>
      <c r="P34" s="12"/>
      <c r="Q34" s="12"/>
      <c r="R34" s="12"/>
      <c r="S34" s="12"/>
      <c r="T34" s="12"/>
      <c r="U34" s="12"/>
      <c r="V34" s="12"/>
      <c r="W34" s="12"/>
      <c r="X34" s="12"/>
      <c r="Y34" s="12"/>
      <c r="Z34" s="12"/>
      <c r="AA34" s="12"/>
      <c r="AB34" s="12"/>
      <c r="AC34" s="12"/>
      <c r="AD34" s="12"/>
      <c r="AE34" s="12"/>
      <c r="AF34" s="12"/>
      <c r="AG34" s="12"/>
      <c r="AH34" s="12"/>
      <c r="AI34" s="12"/>
      <c r="AJ34" s="12"/>
      <c r="AK34" s="12"/>
      <c r="AL34" s="12"/>
      <c r="AM34" s="12"/>
      <c r="AN34" s="12"/>
      <c r="AO34" s="12"/>
      <c r="AP34" s="12"/>
      <c r="AQ34" s="12"/>
      <c r="AR34" s="12"/>
      <c r="AS34" s="12"/>
      <c r="AT34" s="12"/>
      <c r="AU34" s="12"/>
      <c r="AV34" s="12"/>
      <c r="AW34" s="12"/>
      <c r="AX34" s="13"/>
    </row>
    <row r="35" spans="1:50">
      <c r="A35" s="11"/>
      <c r="B35" s="12"/>
      <c r="C35" s="12"/>
      <c r="D35" s="12"/>
      <c r="E35" s="12"/>
      <c r="F35" s="12"/>
      <c r="G35" s="12"/>
      <c r="H35" s="12"/>
      <c r="I35" s="12"/>
      <c r="J35" s="12"/>
      <c r="K35" s="12"/>
      <c r="L35" s="12"/>
      <c r="M35" s="12"/>
      <c r="N35" s="12"/>
      <c r="O35" s="12"/>
      <c r="P35" s="12"/>
      <c r="Q35" s="12"/>
      <c r="R35" s="12"/>
      <c r="S35" s="12"/>
      <c r="T35" s="12"/>
      <c r="U35" s="12"/>
      <c r="V35" s="12"/>
      <c r="W35" s="12"/>
      <c r="X35" s="12"/>
      <c r="Y35" s="12"/>
      <c r="Z35" s="12"/>
      <c r="AA35" s="12"/>
      <c r="AB35" s="12"/>
      <c r="AC35" s="12"/>
      <c r="AD35" s="12"/>
      <c r="AE35" s="12"/>
      <c r="AF35" s="12"/>
      <c r="AG35" s="12"/>
      <c r="AH35" s="12"/>
      <c r="AI35" s="12"/>
      <c r="AJ35" s="12"/>
      <c r="AK35" s="12"/>
      <c r="AL35" s="12"/>
      <c r="AM35" s="12"/>
      <c r="AN35" s="12"/>
      <c r="AO35" s="12"/>
      <c r="AP35" s="12"/>
      <c r="AQ35" s="12"/>
      <c r="AR35" s="12"/>
      <c r="AS35" s="12"/>
      <c r="AT35" s="12"/>
      <c r="AU35" s="12"/>
      <c r="AV35" s="12"/>
      <c r="AW35" s="12"/>
      <c r="AX35" s="13"/>
    </row>
    <row r="36" spans="1:50">
      <c r="A36" s="11"/>
      <c r="B36" s="12"/>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2"/>
      <c r="AI36" s="12"/>
      <c r="AJ36" s="12"/>
      <c r="AK36" s="12"/>
      <c r="AL36" s="12"/>
      <c r="AM36" s="12"/>
      <c r="AN36" s="12"/>
      <c r="AO36" s="12"/>
      <c r="AP36" s="12"/>
      <c r="AQ36" s="12"/>
      <c r="AR36" s="12"/>
      <c r="AS36" s="12"/>
      <c r="AT36" s="12"/>
      <c r="AU36" s="12"/>
      <c r="AV36" s="12"/>
      <c r="AW36" s="12"/>
      <c r="AX36" s="13"/>
    </row>
    <row r="37" spans="1:50">
      <c r="A37" s="11"/>
      <c r="B37" s="12"/>
      <c r="C37" s="12"/>
      <c r="D37" s="12"/>
      <c r="E37" s="12"/>
      <c r="F37" s="12"/>
      <c r="G37" s="12"/>
      <c r="H37" s="12"/>
      <c r="I37" s="12"/>
      <c r="J37" s="12"/>
      <c r="K37" s="12"/>
      <c r="L37" s="12"/>
      <c r="M37" s="12"/>
      <c r="N37" s="12"/>
      <c r="O37" s="12"/>
      <c r="P37" s="12"/>
      <c r="Q37" s="12"/>
      <c r="R37" s="12"/>
      <c r="S37" s="12"/>
      <c r="T37" s="12"/>
      <c r="U37" s="12"/>
      <c r="V37" s="12"/>
      <c r="W37" s="12"/>
      <c r="X37" s="12"/>
      <c r="Y37" s="12"/>
      <c r="Z37" s="12"/>
      <c r="AA37" s="12"/>
      <c r="AB37" s="12"/>
      <c r="AC37" s="12"/>
      <c r="AD37" s="12"/>
      <c r="AE37" s="12"/>
      <c r="AF37" s="12"/>
      <c r="AG37" s="12"/>
      <c r="AH37" s="12"/>
      <c r="AI37" s="12"/>
      <c r="AJ37" s="12"/>
      <c r="AK37" s="12"/>
      <c r="AL37" s="12"/>
      <c r="AM37" s="12"/>
      <c r="AN37" s="12"/>
      <c r="AO37" s="12"/>
      <c r="AP37" s="12"/>
      <c r="AQ37" s="12"/>
      <c r="AR37" s="12"/>
      <c r="AS37" s="12"/>
      <c r="AT37" s="12"/>
      <c r="AU37" s="12"/>
      <c r="AV37" s="12"/>
      <c r="AW37" s="12"/>
      <c r="AX37" s="13"/>
    </row>
    <row r="38" spans="1:50">
      <c r="A38" s="11"/>
      <c r="B38" s="12"/>
      <c r="C38" s="12"/>
      <c r="D38" s="12"/>
      <c r="E38" s="12"/>
      <c r="F38" s="12"/>
      <c r="G38" s="12"/>
      <c r="H38" s="12"/>
      <c r="I38" s="12"/>
      <c r="J38" s="12"/>
      <c r="K38" s="12"/>
      <c r="L38" s="12"/>
      <c r="M38" s="12"/>
      <c r="N38" s="12"/>
      <c r="O38" s="12"/>
      <c r="P38" s="12"/>
      <c r="Q38" s="12"/>
      <c r="R38" s="12"/>
      <c r="S38" s="12"/>
      <c r="T38" s="12"/>
      <c r="U38" s="12"/>
      <c r="V38" s="12"/>
      <c r="W38" s="12"/>
      <c r="X38" s="12"/>
      <c r="Y38" s="12"/>
      <c r="Z38" s="12"/>
      <c r="AA38" s="12"/>
      <c r="AB38" s="12"/>
      <c r="AC38" s="12"/>
      <c r="AD38" s="12"/>
      <c r="AE38" s="12"/>
      <c r="AF38" s="12"/>
      <c r="AG38" s="12"/>
      <c r="AH38" s="12"/>
      <c r="AI38" s="12"/>
      <c r="AJ38" s="12"/>
      <c r="AK38" s="12"/>
      <c r="AL38" s="12"/>
      <c r="AM38" s="12"/>
      <c r="AN38" s="12"/>
      <c r="AO38" s="12"/>
      <c r="AP38" s="12"/>
      <c r="AQ38" s="12"/>
      <c r="AR38" s="12"/>
      <c r="AS38" s="12"/>
      <c r="AT38" s="12"/>
      <c r="AU38" s="12"/>
      <c r="AV38" s="12"/>
      <c r="AW38" s="12"/>
      <c r="AX38" s="13"/>
    </row>
    <row r="39" spans="1:50">
      <c r="A39" s="11"/>
      <c r="B39" s="12"/>
      <c r="C39" s="12"/>
      <c r="D39" s="12"/>
      <c r="E39" s="12"/>
      <c r="F39" s="12"/>
      <c r="G39" s="12"/>
      <c r="H39" s="12"/>
      <c r="I39" s="12"/>
      <c r="J39" s="12"/>
      <c r="K39" s="12"/>
      <c r="L39" s="12"/>
      <c r="M39" s="12"/>
      <c r="N39" s="12"/>
      <c r="O39" s="12"/>
      <c r="P39" s="12"/>
      <c r="Q39" s="12"/>
      <c r="R39" s="12"/>
      <c r="S39" s="12"/>
      <c r="T39" s="12"/>
      <c r="U39" s="12"/>
      <c r="V39" s="12"/>
      <c r="W39" s="12"/>
      <c r="X39" s="12"/>
      <c r="Y39" s="12"/>
      <c r="Z39" s="12"/>
      <c r="AA39" s="12"/>
      <c r="AB39" s="12"/>
      <c r="AC39" s="12"/>
      <c r="AD39" s="12"/>
      <c r="AE39" s="12"/>
      <c r="AF39" s="12"/>
      <c r="AG39" s="12"/>
      <c r="AH39" s="12"/>
      <c r="AI39" s="12"/>
      <c r="AJ39" s="12"/>
      <c r="AK39" s="12"/>
      <c r="AL39" s="12"/>
      <c r="AM39" s="12"/>
      <c r="AN39" s="12"/>
      <c r="AO39" s="12"/>
      <c r="AP39" s="12"/>
      <c r="AQ39" s="12"/>
      <c r="AR39" s="12"/>
      <c r="AS39" s="12"/>
      <c r="AT39" s="12"/>
      <c r="AU39" s="12"/>
      <c r="AV39" s="12"/>
      <c r="AW39" s="12"/>
      <c r="AX39" s="13"/>
    </row>
    <row r="40" spans="1:50">
      <c r="A40" s="11"/>
      <c r="B40" s="12"/>
      <c r="C40" s="12"/>
      <c r="D40" s="12"/>
      <c r="E40" s="12"/>
      <c r="F40" s="12"/>
      <c r="G40" s="12"/>
      <c r="H40" s="12"/>
      <c r="I40" s="12"/>
      <c r="J40" s="12"/>
      <c r="K40" s="12"/>
      <c r="L40" s="12"/>
      <c r="M40" s="12"/>
      <c r="N40" s="12"/>
      <c r="O40" s="12"/>
      <c r="P40" s="12"/>
      <c r="Q40" s="12"/>
      <c r="R40" s="12"/>
      <c r="S40" s="12"/>
      <c r="T40" s="12"/>
      <c r="U40" s="12"/>
      <c r="V40" s="12"/>
      <c r="W40" s="12"/>
      <c r="X40" s="12"/>
      <c r="Y40" s="12"/>
      <c r="Z40" s="12"/>
      <c r="AA40" s="12"/>
      <c r="AB40" s="12"/>
      <c r="AC40" s="12"/>
      <c r="AD40" s="12"/>
      <c r="AE40" s="12"/>
      <c r="AF40" s="12"/>
      <c r="AG40" s="12"/>
      <c r="AH40" s="12"/>
      <c r="AI40" s="12"/>
      <c r="AJ40" s="12"/>
      <c r="AK40" s="12"/>
      <c r="AL40" s="12"/>
      <c r="AM40" s="12"/>
      <c r="AN40" s="12"/>
      <c r="AO40" s="12"/>
      <c r="AP40" s="12"/>
      <c r="AQ40" s="12"/>
      <c r="AR40" s="12"/>
      <c r="AS40" s="12"/>
      <c r="AT40" s="12"/>
      <c r="AU40" s="12"/>
      <c r="AV40" s="12"/>
      <c r="AW40" s="12"/>
      <c r="AX40" s="13"/>
    </row>
    <row r="41" spans="1:50">
      <c r="A41" s="11"/>
      <c r="B41" s="12"/>
      <c r="C41" s="12"/>
      <c r="D41" s="12"/>
      <c r="E41" s="12"/>
      <c r="F41" s="12"/>
      <c r="G41" s="12"/>
      <c r="H41" s="12"/>
      <c r="I41" s="12"/>
      <c r="J41" s="12"/>
      <c r="K41" s="12"/>
      <c r="L41" s="12"/>
      <c r="M41" s="12"/>
      <c r="N41" s="12"/>
      <c r="O41" s="12"/>
      <c r="P41" s="12"/>
      <c r="Q41" s="12"/>
      <c r="R41" s="12"/>
      <c r="S41" s="12"/>
      <c r="T41" s="12"/>
      <c r="U41" s="12"/>
      <c r="V41" s="12"/>
      <c r="W41" s="12"/>
      <c r="X41" s="12"/>
      <c r="Y41" s="12"/>
      <c r="Z41" s="12"/>
      <c r="AA41" s="12"/>
      <c r="AB41" s="12"/>
      <c r="AC41" s="12"/>
      <c r="AD41" s="12"/>
      <c r="AE41" s="12"/>
      <c r="AF41" s="12"/>
      <c r="AG41" s="12"/>
      <c r="AH41" s="12"/>
      <c r="AI41" s="12"/>
      <c r="AJ41" s="12"/>
      <c r="AK41" s="12"/>
      <c r="AL41" s="12"/>
      <c r="AM41" s="12"/>
      <c r="AN41" s="12"/>
      <c r="AO41" s="12"/>
      <c r="AP41" s="12"/>
      <c r="AQ41" s="12"/>
      <c r="AR41" s="12"/>
      <c r="AS41" s="12"/>
      <c r="AT41" s="12"/>
      <c r="AU41" s="12"/>
      <c r="AV41" s="12"/>
      <c r="AW41" s="12"/>
      <c r="AX41" s="13"/>
    </row>
    <row r="42" spans="1:50">
      <c r="A42" s="11"/>
      <c r="B42" s="12"/>
      <c r="C42" s="12"/>
      <c r="D42" s="12"/>
      <c r="E42" s="12"/>
      <c r="F42" s="12"/>
      <c r="G42" s="12"/>
      <c r="H42" s="12"/>
      <c r="I42" s="12"/>
      <c r="J42" s="12"/>
      <c r="K42" s="12"/>
      <c r="L42" s="12"/>
      <c r="M42" s="12"/>
      <c r="N42" s="12"/>
      <c r="O42" s="12"/>
      <c r="P42" s="12"/>
      <c r="Q42" s="12"/>
      <c r="R42" s="12"/>
      <c r="S42" s="12"/>
      <c r="T42" s="12"/>
      <c r="U42" s="12"/>
      <c r="V42" s="12"/>
      <c r="W42" s="12"/>
      <c r="X42" s="12"/>
      <c r="Y42" s="12"/>
      <c r="Z42" s="12"/>
      <c r="AA42" s="12"/>
      <c r="AB42" s="12"/>
      <c r="AC42" s="12"/>
      <c r="AD42" s="12"/>
      <c r="AE42" s="12"/>
      <c r="AF42" s="12"/>
      <c r="AG42" s="12"/>
      <c r="AH42" s="12"/>
      <c r="AI42" s="12"/>
      <c r="AJ42" s="12"/>
      <c r="AK42" s="12"/>
      <c r="AL42" s="12"/>
      <c r="AM42" s="12"/>
      <c r="AN42" s="12"/>
      <c r="AO42" s="12"/>
      <c r="AP42" s="12"/>
      <c r="AQ42" s="12"/>
      <c r="AR42" s="12"/>
      <c r="AS42" s="12"/>
      <c r="AT42" s="12"/>
      <c r="AU42" s="12"/>
      <c r="AV42" s="12"/>
      <c r="AW42" s="12"/>
      <c r="AX42" s="13"/>
    </row>
    <row r="43" spans="1:50">
      <c r="A43" s="11"/>
      <c r="B43" s="12"/>
      <c r="C43" s="12"/>
      <c r="D43" s="12"/>
      <c r="E43" s="12"/>
      <c r="F43" s="12"/>
      <c r="G43" s="12"/>
      <c r="H43" s="12"/>
      <c r="I43" s="12"/>
      <c r="J43" s="12"/>
      <c r="K43" s="12"/>
      <c r="L43" s="12"/>
      <c r="M43" s="12"/>
      <c r="N43" s="12"/>
      <c r="O43" s="12"/>
      <c r="P43" s="12"/>
      <c r="Q43" s="12"/>
      <c r="R43" s="12"/>
      <c r="S43" s="12"/>
      <c r="T43" s="12"/>
      <c r="U43" s="12"/>
      <c r="V43" s="12"/>
      <c r="W43" s="12"/>
      <c r="X43" s="12"/>
      <c r="Y43" s="12"/>
      <c r="Z43" s="12"/>
      <c r="AA43" s="12"/>
      <c r="AB43" s="12"/>
      <c r="AC43" s="12"/>
      <c r="AD43" s="12"/>
      <c r="AE43" s="12"/>
      <c r="AF43" s="12"/>
      <c r="AG43" s="12"/>
      <c r="AH43" s="12"/>
      <c r="AI43" s="12"/>
      <c r="AJ43" s="12"/>
      <c r="AK43" s="12"/>
      <c r="AL43" s="12"/>
      <c r="AM43" s="12"/>
      <c r="AN43" s="12"/>
      <c r="AO43" s="12"/>
      <c r="AP43" s="12"/>
      <c r="AQ43" s="12"/>
      <c r="AR43" s="12"/>
      <c r="AS43" s="12"/>
      <c r="AT43" s="12"/>
      <c r="AU43" s="12"/>
      <c r="AV43" s="12"/>
      <c r="AW43" s="12"/>
      <c r="AX43" s="13"/>
    </row>
    <row r="44" spans="1:50">
      <c r="A44" s="11"/>
      <c r="B44" s="12"/>
      <c r="C44" s="12"/>
      <c r="D44" s="12"/>
      <c r="E44" s="12"/>
      <c r="F44" s="12"/>
      <c r="G44" s="12"/>
      <c r="H44" s="12"/>
      <c r="I44" s="12"/>
      <c r="J44" s="12"/>
      <c r="K44" s="12"/>
      <c r="L44" s="12"/>
      <c r="M44" s="12"/>
      <c r="N44" s="12"/>
      <c r="O44" s="12"/>
      <c r="P44" s="12"/>
      <c r="Q44" s="12"/>
      <c r="R44" s="12"/>
      <c r="S44" s="12"/>
      <c r="T44" s="12"/>
      <c r="U44" s="12"/>
      <c r="V44" s="12"/>
      <c r="W44" s="12"/>
      <c r="X44" s="12"/>
      <c r="Y44" s="12"/>
      <c r="Z44" s="12"/>
      <c r="AA44" s="12"/>
      <c r="AB44" s="12"/>
      <c r="AC44" s="12"/>
      <c r="AD44" s="12"/>
      <c r="AE44" s="12"/>
      <c r="AF44" s="12"/>
      <c r="AG44" s="12"/>
      <c r="AH44" s="12"/>
      <c r="AI44" s="12"/>
      <c r="AJ44" s="12"/>
      <c r="AK44" s="12"/>
      <c r="AL44" s="12"/>
      <c r="AM44" s="12"/>
      <c r="AN44" s="12"/>
      <c r="AO44" s="12"/>
      <c r="AP44" s="12"/>
      <c r="AQ44" s="12"/>
      <c r="AR44" s="12"/>
      <c r="AS44" s="12"/>
      <c r="AT44" s="12"/>
      <c r="AU44" s="12"/>
      <c r="AV44" s="12"/>
      <c r="AW44" s="12"/>
      <c r="AX44" s="13"/>
    </row>
    <row r="45" spans="1:50">
      <c r="A45" s="11"/>
      <c r="B45" s="12"/>
      <c r="C45" s="12"/>
      <c r="D45" s="12"/>
      <c r="E45" s="12"/>
      <c r="F45" s="12"/>
      <c r="G45" s="12"/>
      <c r="H45" s="12"/>
      <c r="I45" s="12"/>
      <c r="J45" s="12"/>
      <c r="K45" s="12"/>
      <c r="L45" s="12"/>
      <c r="M45" s="12"/>
      <c r="N45" s="12"/>
      <c r="O45" s="12"/>
      <c r="P45" s="12"/>
      <c r="Q45" s="12"/>
      <c r="R45" s="12"/>
      <c r="S45" s="12"/>
      <c r="T45" s="12"/>
      <c r="U45" s="12"/>
      <c r="V45" s="12"/>
      <c r="W45" s="12"/>
      <c r="X45" s="12"/>
      <c r="Y45" s="12"/>
      <c r="Z45" s="12"/>
      <c r="AA45" s="12"/>
      <c r="AB45" s="12"/>
      <c r="AC45" s="12"/>
      <c r="AD45" s="12"/>
      <c r="AE45" s="12"/>
      <c r="AF45" s="12"/>
      <c r="AG45" s="12"/>
      <c r="AH45" s="12"/>
      <c r="AI45" s="12"/>
      <c r="AJ45" s="12"/>
      <c r="AK45" s="12"/>
      <c r="AL45" s="12"/>
      <c r="AM45" s="12"/>
      <c r="AN45" s="12"/>
      <c r="AO45" s="12"/>
      <c r="AP45" s="12"/>
      <c r="AQ45" s="12"/>
      <c r="AR45" s="12"/>
      <c r="AS45" s="12"/>
      <c r="AT45" s="12"/>
      <c r="AU45" s="12"/>
      <c r="AV45" s="12"/>
      <c r="AW45" s="12"/>
      <c r="AX45" s="13"/>
    </row>
    <row r="46" spans="1:50">
      <c r="A46" s="11"/>
      <c r="B46" s="12"/>
      <c r="C46" s="12"/>
      <c r="D46" s="12"/>
      <c r="E46" s="12"/>
      <c r="F46" s="12"/>
      <c r="G46" s="12"/>
      <c r="H46" s="12"/>
      <c r="I46" s="12"/>
      <c r="J46" s="12"/>
      <c r="K46" s="12"/>
      <c r="L46" s="12"/>
      <c r="M46" s="12"/>
      <c r="N46" s="12"/>
      <c r="O46" s="12"/>
      <c r="P46" s="12"/>
      <c r="Q46" s="12"/>
      <c r="R46" s="12"/>
      <c r="S46" s="12"/>
      <c r="T46" s="12"/>
      <c r="U46" s="12"/>
      <c r="V46" s="12"/>
      <c r="W46" s="12"/>
      <c r="X46" s="12"/>
      <c r="Y46" s="12"/>
      <c r="Z46" s="12"/>
      <c r="AA46" s="12"/>
      <c r="AB46" s="12"/>
      <c r="AC46" s="12"/>
      <c r="AD46" s="12"/>
      <c r="AE46" s="12"/>
      <c r="AF46" s="12"/>
      <c r="AG46" s="12"/>
      <c r="AH46" s="12"/>
      <c r="AI46" s="12"/>
      <c r="AJ46" s="12"/>
      <c r="AK46" s="12"/>
      <c r="AL46" s="12"/>
      <c r="AM46" s="12"/>
      <c r="AN46" s="12"/>
      <c r="AO46" s="12"/>
      <c r="AP46" s="12"/>
      <c r="AQ46" s="12"/>
      <c r="AR46" s="12"/>
      <c r="AS46" s="12"/>
      <c r="AT46" s="12"/>
      <c r="AU46" s="12"/>
      <c r="AV46" s="12"/>
      <c r="AW46" s="12"/>
      <c r="AX46" s="13"/>
    </row>
    <row r="47" spans="1:50">
      <c r="A47" s="11"/>
      <c r="B47" s="12"/>
      <c r="C47" s="12"/>
      <c r="D47" s="12"/>
      <c r="E47" s="12"/>
      <c r="F47" s="12"/>
      <c r="G47" s="12"/>
      <c r="H47" s="12"/>
      <c r="I47" s="12"/>
      <c r="J47" s="12"/>
      <c r="K47" s="12"/>
      <c r="L47" s="12"/>
      <c r="M47" s="12"/>
      <c r="N47" s="12"/>
      <c r="O47" s="12"/>
      <c r="P47" s="12"/>
      <c r="Q47" s="12"/>
      <c r="R47" s="12"/>
      <c r="S47" s="12"/>
      <c r="T47" s="12"/>
      <c r="U47" s="12"/>
      <c r="V47" s="12"/>
      <c r="W47" s="12"/>
      <c r="X47" s="12"/>
      <c r="Y47" s="12"/>
      <c r="Z47" s="12"/>
      <c r="AA47" s="12"/>
      <c r="AB47" s="12"/>
      <c r="AC47" s="12"/>
      <c r="AD47" s="12"/>
      <c r="AE47" s="12"/>
      <c r="AF47" s="12"/>
      <c r="AG47" s="12"/>
      <c r="AH47" s="12"/>
      <c r="AI47" s="12"/>
      <c r="AJ47" s="12"/>
      <c r="AK47" s="12"/>
      <c r="AL47" s="12"/>
      <c r="AM47" s="12"/>
      <c r="AN47" s="12"/>
      <c r="AO47" s="12"/>
      <c r="AP47" s="12"/>
      <c r="AQ47" s="12"/>
      <c r="AR47" s="12"/>
      <c r="AS47" s="12"/>
      <c r="AT47" s="12"/>
      <c r="AU47" s="12"/>
      <c r="AV47" s="12"/>
      <c r="AW47" s="12"/>
      <c r="AX47" s="13"/>
    </row>
    <row r="48" spans="1:50">
      <c r="A48" s="11"/>
      <c r="B48" s="12"/>
      <c r="C48" s="12"/>
      <c r="D48" s="12"/>
      <c r="E48" s="12"/>
      <c r="F48" s="12"/>
      <c r="G48" s="12"/>
      <c r="H48" s="12"/>
      <c r="I48" s="12"/>
      <c r="J48" s="12"/>
      <c r="K48" s="12"/>
      <c r="L48" s="12"/>
      <c r="M48" s="12"/>
      <c r="N48" s="12"/>
      <c r="O48" s="12"/>
      <c r="P48" s="12"/>
      <c r="Q48" s="12"/>
      <c r="R48" s="12"/>
      <c r="S48" s="12"/>
      <c r="T48" s="12"/>
      <c r="U48" s="12"/>
      <c r="V48" s="12"/>
      <c r="W48" s="12"/>
      <c r="X48" s="12"/>
      <c r="Y48" s="12"/>
      <c r="Z48" s="12"/>
      <c r="AA48" s="12"/>
      <c r="AB48" s="12"/>
      <c r="AC48" s="12"/>
      <c r="AD48" s="12"/>
      <c r="AE48" s="12"/>
      <c r="AF48" s="12"/>
      <c r="AG48" s="12"/>
      <c r="AH48" s="12"/>
      <c r="AI48" s="12"/>
      <c r="AJ48" s="12"/>
      <c r="AK48" s="12"/>
      <c r="AL48" s="12"/>
      <c r="AM48" s="12"/>
      <c r="AN48" s="12"/>
      <c r="AO48" s="12"/>
      <c r="AP48" s="12"/>
      <c r="AQ48" s="12"/>
      <c r="AR48" s="12"/>
      <c r="AS48" s="12"/>
      <c r="AT48" s="12"/>
      <c r="AU48" s="12"/>
      <c r="AV48" s="12"/>
      <c r="AW48" s="12"/>
      <c r="AX48" s="13"/>
    </row>
    <row r="49" spans="1:50">
      <c r="A49" s="11"/>
      <c r="B49" s="12"/>
      <c r="C49" s="12"/>
      <c r="D49" s="12"/>
      <c r="E49" s="12"/>
      <c r="F49" s="12"/>
      <c r="G49" s="12"/>
      <c r="H49" s="12"/>
      <c r="I49" s="12"/>
      <c r="J49" s="12"/>
      <c r="K49" s="12"/>
      <c r="L49" s="12"/>
      <c r="M49" s="12"/>
      <c r="N49" s="12"/>
      <c r="O49" s="12"/>
      <c r="P49" s="12"/>
      <c r="Q49" s="12"/>
      <c r="R49" s="12"/>
      <c r="S49" s="12"/>
      <c r="T49" s="12"/>
      <c r="U49" s="12"/>
      <c r="V49" s="12"/>
      <c r="W49" s="12"/>
      <c r="X49" s="12"/>
      <c r="Y49" s="12"/>
      <c r="Z49" s="12"/>
      <c r="AA49" s="12"/>
      <c r="AB49" s="12"/>
      <c r="AC49" s="12"/>
      <c r="AD49" s="12"/>
      <c r="AE49" s="12"/>
      <c r="AF49" s="12"/>
      <c r="AG49" s="12"/>
      <c r="AH49" s="12"/>
      <c r="AI49" s="12"/>
      <c r="AJ49" s="12"/>
      <c r="AK49" s="12"/>
      <c r="AL49" s="12"/>
      <c r="AM49" s="12"/>
      <c r="AN49" s="12"/>
      <c r="AO49" s="12"/>
      <c r="AP49" s="12"/>
      <c r="AQ49" s="12"/>
      <c r="AR49" s="12"/>
      <c r="AS49" s="12"/>
      <c r="AT49" s="12"/>
      <c r="AU49" s="12"/>
      <c r="AV49" s="12"/>
      <c r="AW49" s="12"/>
      <c r="AX49" s="13"/>
    </row>
    <row r="50" spans="1:50">
      <c r="A50" s="11"/>
      <c r="B50" s="12"/>
      <c r="C50" s="12"/>
      <c r="D50" s="12"/>
      <c r="E50" s="12"/>
      <c r="F50" s="12"/>
      <c r="G50" s="12"/>
      <c r="H50" s="12"/>
      <c r="I50" s="12"/>
      <c r="J50" s="12"/>
      <c r="K50" s="12"/>
      <c r="L50" s="12"/>
      <c r="M50" s="12"/>
      <c r="N50" s="12"/>
      <c r="O50" s="12"/>
      <c r="P50" s="12"/>
      <c r="Q50" s="12"/>
      <c r="R50" s="12"/>
      <c r="S50" s="12"/>
      <c r="T50" s="12"/>
      <c r="U50" s="12"/>
      <c r="V50" s="12"/>
      <c r="W50" s="12"/>
      <c r="X50" s="12"/>
      <c r="Y50" s="12"/>
      <c r="Z50" s="12"/>
      <c r="AA50" s="12"/>
      <c r="AB50" s="12"/>
      <c r="AC50" s="12"/>
      <c r="AD50" s="12"/>
      <c r="AE50" s="12"/>
      <c r="AF50" s="12"/>
      <c r="AG50" s="12"/>
      <c r="AH50" s="12"/>
      <c r="AI50" s="12"/>
      <c r="AJ50" s="12"/>
      <c r="AK50" s="12"/>
      <c r="AL50" s="12"/>
      <c r="AM50" s="12"/>
      <c r="AN50" s="12"/>
      <c r="AO50" s="12"/>
      <c r="AP50" s="12"/>
      <c r="AQ50" s="12"/>
      <c r="AR50" s="12"/>
      <c r="AS50" s="12"/>
      <c r="AT50" s="12"/>
      <c r="AU50" s="12"/>
      <c r="AV50" s="12"/>
      <c r="AW50" s="12"/>
      <c r="AX50" s="13"/>
    </row>
    <row r="51" spans="1:50">
      <c r="A51" s="11"/>
      <c r="B51" s="12"/>
      <c r="C51" s="12"/>
      <c r="D51" s="12"/>
      <c r="E51" s="12"/>
      <c r="F51" s="12"/>
      <c r="G51" s="12"/>
      <c r="H51" s="12"/>
      <c r="I51" s="12"/>
      <c r="J51" s="12"/>
      <c r="K51" s="12"/>
      <c r="L51" s="12"/>
      <c r="M51" s="12"/>
      <c r="N51" s="12"/>
      <c r="O51" s="12"/>
      <c r="P51" s="12"/>
      <c r="Q51" s="12"/>
      <c r="R51" s="12"/>
      <c r="S51" s="12"/>
      <c r="T51" s="12"/>
      <c r="U51" s="12"/>
      <c r="V51" s="12"/>
      <c r="W51" s="12"/>
      <c r="X51" s="12"/>
      <c r="Y51" s="12"/>
      <c r="Z51" s="12"/>
      <c r="AA51" s="12"/>
      <c r="AB51" s="12"/>
      <c r="AC51" s="12"/>
      <c r="AD51" s="12"/>
      <c r="AE51" s="12"/>
      <c r="AF51" s="12"/>
      <c r="AG51" s="12"/>
      <c r="AH51" s="12"/>
      <c r="AI51" s="12"/>
      <c r="AJ51" s="12"/>
      <c r="AK51" s="12"/>
      <c r="AL51" s="12"/>
      <c r="AM51" s="12"/>
      <c r="AN51" s="12"/>
      <c r="AO51" s="12"/>
      <c r="AP51" s="12"/>
      <c r="AQ51" s="12"/>
      <c r="AR51" s="12"/>
      <c r="AS51" s="12"/>
      <c r="AT51" s="12"/>
      <c r="AU51" s="12"/>
      <c r="AV51" s="12"/>
      <c r="AW51" s="12"/>
      <c r="AX51" s="13"/>
    </row>
    <row r="52" spans="1:50">
      <c r="A52" s="14"/>
      <c r="B52" s="15"/>
      <c r="C52" s="15"/>
      <c r="D52" s="15"/>
      <c r="E52" s="15"/>
      <c r="F52" s="15"/>
      <c r="G52" s="15"/>
      <c r="H52" s="15"/>
      <c r="I52" s="15"/>
      <c r="J52" s="15"/>
      <c r="K52" s="15"/>
      <c r="L52" s="15"/>
      <c r="M52" s="15"/>
      <c r="N52" s="15"/>
      <c r="O52" s="15"/>
      <c r="P52" s="15"/>
      <c r="Q52" s="15"/>
      <c r="R52" s="15"/>
      <c r="S52" s="15"/>
      <c r="T52" s="15"/>
      <c r="U52" s="15"/>
      <c r="V52" s="15"/>
      <c r="W52" s="15"/>
      <c r="X52" s="15"/>
      <c r="Y52" s="15"/>
      <c r="Z52" s="15"/>
      <c r="AA52" s="15"/>
      <c r="AB52" s="15"/>
      <c r="AC52" s="15"/>
      <c r="AD52" s="15"/>
      <c r="AE52" s="15"/>
      <c r="AF52" s="15"/>
      <c r="AG52" s="15"/>
      <c r="AH52" s="15"/>
      <c r="AI52" s="15"/>
      <c r="AJ52" s="15"/>
      <c r="AK52" s="15"/>
      <c r="AL52" s="15"/>
      <c r="AM52" s="15"/>
      <c r="AN52" s="15"/>
      <c r="AO52" s="15"/>
      <c r="AP52" s="15"/>
      <c r="AQ52" s="15"/>
      <c r="AR52" s="15"/>
      <c r="AS52" s="15"/>
      <c r="AT52" s="15"/>
      <c r="AU52" s="15"/>
      <c r="AV52" s="15"/>
      <c r="AW52" s="15"/>
      <c r="AX52" s="16"/>
    </row>
  </sheetData>
  <mergeCells count="16">
    <mergeCell ref="A1:F1"/>
    <mergeCell ref="A2:F2"/>
    <mergeCell ref="AO2:AR2"/>
    <mergeCell ref="AO1:AR1"/>
    <mergeCell ref="G1:X1"/>
    <mergeCell ref="Y1:AD1"/>
    <mergeCell ref="AE1:AN1"/>
    <mergeCell ref="G2:X2"/>
    <mergeCell ref="Y2:AD2"/>
    <mergeCell ref="AE2:AN2"/>
    <mergeCell ref="BB1:BF1"/>
    <mergeCell ref="AX2:BA2"/>
    <mergeCell ref="BB2:BF2"/>
    <mergeCell ref="AS1:AW1"/>
    <mergeCell ref="AS2:AW2"/>
    <mergeCell ref="AX1:BA1"/>
  </mergeCells>
  <phoneticPr fontId="1"/>
  <pageMargins left="0.59055118110236227" right="0.39370078740157483" top="0.59055118110236227" bottom="0.59055118110236227" header="0.39370078740157483" footer="0.39370078740157483"/>
  <pageSetup paperSize="9" orientation="landscape" horizontalDpi="0" verticalDpi="0"/>
  <headerFooter alignWithMargins="0">
    <oddFooter>&amp;C&amp;8- &amp;P-1 -&amp;R&amp;"明朝,標準"&amp;8Copyright © 2007 sample Corporation. All Rights Reserved.</oddFooter>
  </headerFooter>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7</vt:i4>
      </vt:variant>
    </vt:vector>
  </HeadingPairs>
  <TitlesOfParts>
    <vt:vector size="7" baseType="lpstr">
      <vt:lpstr>改訂履歴</vt:lpstr>
      <vt:lpstr>機能要件</vt:lpstr>
      <vt:lpstr>画面イメージ</vt:lpstr>
      <vt:lpstr>IO関連</vt:lpstr>
      <vt:lpstr>画面項目</vt:lpstr>
      <vt:lpstr>イベント処理</vt:lpstr>
      <vt:lpstr>DB処理</vt:lpstr>
    </vt:vector>
  </TitlesOfParts>
  <Manager>サンプル管理部</Manager>
  <Company>株式会社サンプル</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詳細設計書</dc:title>
  <dc:subject>設計書</dc:subject>
  <dc:creator>サンプル開発部</dc:creator>
  <dc:description>version1.0</dc:description>
  <cp:lastModifiedBy>水谷 友哉</cp:lastModifiedBy>
  <cp:lastPrinted>2022-10-19T01:48:49Z</cp:lastPrinted>
  <dcterms:created xsi:type="dcterms:W3CDTF">2002-02-23T02:02:23Z</dcterms:created>
  <dcterms:modified xsi:type="dcterms:W3CDTF">2022-11-06T10:13:18Z</dcterms:modified>
</cp:coreProperties>
</file>